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asks" sheetId="2" state="visible" r:id="rId2"/>
    <sheet name="Decisions" sheetId="3" state="visible" r:id="rId3"/>
    <sheet name="Release Checklist" sheetId="4" state="visible" r:id="rId4"/>
  </sheets>
  <definedNames>
    <definedName name="_xlnm._FilterDatabase" localSheetId="1" hidden="1">'Tasks'!$A$1:$N$83</definedName>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7">
    <font>
      <name val="Calibri"/>
      <family val="2"/>
      <color theme="1"/>
      <sz val="11"/>
      <scheme val="minor"/>
    </font>
    <font>
      <name val="Arial"/>
      <b val="1"/>
      <color rgb="00FFFFFF"/>
      <sz val="10"/>
    </font>
    <font>
      <name val="Arial"/>
      <sz val="10"/>
    </font>
    <font>
      <name val="Arial"/>
      <b val="1"/>
      <sz val="14"/>
    </font>
    <font>
      <name val="Arial"/>
      <i val="1"/>
      <sz val="9"/>
    </font>
    <font>
      <name val="Arial"/>
      <b val="1"/>
      <sz val="10"/>
    </font>
    <font>
      <name val="Arial"/>
      <sz val="9"/>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center" wrapText="1"/>
    </xf>
    <xf numFmtId="0" fontId="2" fillId="0" borderId="1" pivotButton="0" quotePrefix="0" xfId="0"/>
    <xf numFmtId="0" fontId="2" fillId="0" borderId="1" applyAlignment="1" pivotButton="0" quotePrefix="0" xfId="0">
      <alignment horizontal="center"/>
    </xf>
    <xf numFmtId="164" fontId="2" fillId="0" borderId="1" applyAlignment="1" pivotButton="0" quotePrefix="0" xfId="0">
      <alignment horizontal="center"/>
    </xf>
    <xf numFmtId="0" fontId="5" fillId="0" borderId="1" pivotButton="0" quotePrefix="0" xfId="0"/>
    <xf numFmtId="0" fontId="5" fillId="0" borderId="1" applyAlignment="1" pivotButton="0" quotePrefix="0" xfId="0">
      <alignment horizontal="center"/>
    </xf>
    <xf numFmtId="164" fontId="5" fillId="0" borderId="1" applyAlignment="1" pivotButton="0" quotePrefix="0" xfId="0">
      <alignment horizontal="center"/>
    </xf>
    <xf numFmtId="0" fontId="5" fillId="0" borderId="0" pivotButton="0" quotePrefix="0" xfId="0"/>
    <xf numFmtId="0" fontId="6"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165" fontId="2" fillId="0" borderId="1" applyAlignment="1" pivotButton="0" quotePrefix="0" xfId="0">
      <alignment vertical="top" wrapText="1"/>
    </xf>
    <xf numFmtId="0" fontId="2" fillId="0" borderId="1" applyAlignment="1" pivotButton="0" quotePrefix="0" xfId="0">
      <alignment horizontal="center" vertical="top"/>
    </xf>
    <xf numFmtId="0" fontId="1" fillId="2" borderId="1" pivotButton="0" quotePrefix="0" xfId="0"/>
    <xf numFmtId="164" fontId="2" fillId="0" borderId="1" applyAlignment="1" pivotButton="0" quotePrefix="0" xfId="0">
      <alignment horizontal="center"/>
    </xf>
    <xf numFmtId="164" fontId="5" fillId="0" borderId="1" applyAlignment="1" pivotButton="0" quotePrefix="0" xfId="0">
      <alignment horizontal="center"/>
    </xf>
    <xf numFmtId="165" fontId="2" fillId="0" borderId="1" applyAlignment="1" pivotButton="0" quotePrefix="0" xfId="0">
      <alignment vertical="top" wrapText="1"/>
    </xf>
  </cellXfs>
  <cellStyles count="1">
    <cellStyle name="Normal" xfId="0" builtinId="0" hidden="0"/>
  </cellStyles>
  <dxfs count="6">
    <dxf>
      <fill>
        <patternFill patternType="solid">
          <bgColor rgb="00C6EFCE"/>
        </patternFill>
      </fill>
    </dxf>
    <dxf>
      <fill>
        <patternFill patternType="solid">
          <bgColor rgb="00DDEBF7"/>
        </patternFill>
      </fill>
    </dxf>
    <dxf>
      <fill>
        <patternFill patternType="solid">
          <bgColor rgb="00FFC7CE"/>
        </patternFill>
      </fill>
    </dxf>
    <dxf>
      <fill>
        <patternFill patternType="solid">
          <bgColor rgb="00FFEB9C"/>
        </patternFill>
      </fill>
    </dxf>
    <dxf>
      <fill>
        <patternFill patternType="solid">
          <bgColor rgb="00D9D9D9"/>
        </patternFill>
      </fill>
    </dxf>
    <dxf>
      <font>
        <name val="Arial"/>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Ghana Parliament AI Engagement Platform - Task Tracker</t>
        </is>
      </c>
    </row>
    <row r="2">
      <c r="A2" s="2" t="inlineStr">
        <is>
          <t>Counts update automatically from the Tasks sheet.</t>
        </is>
      </c>
    </row>
    <row r="4">
      <c r="A4" s="3" t="inlineStr">
        <is>
          <t>Phase</t>
        </is>
      </c>
      <c r="B4" s="3" t="inlineStr">
        <is>
          <t>Not started</t>
        </is>
      </c>
      <c r="C4" s="3" t="inlineStr">
        <is>
          <t>In progress</t>
        </is>
      </c>
      <c r="D4" s="3" t="inlineStr">
        <is>
          <t>Blocked</t>
        </is>
      </c>
      <c r="E4" s="3" t="inlineStr">
        <is>
          <t>In review</t>
        </is>
      </c>
      <c r="F4" s="3" t="inlineStr">
        <is>
          <t>Done</t>
        </is>
      </c>
      <c r="G4" s="3" t="inlineStr">
        <is>
          <t>Cancelled</t>
        </is>
      </c>
      <c r="H4" s="3" t="inlineStr">
        <is>
          <t>Total</t>
        </is>
      </c>
      <c r="I4" s="3" t="inlineStr">
        <is>
          <t>% Done</t>
        </is>
      </c>
    </row>
    <row r="5">
      <c r="A5" s="4" t="inlineStr">
        <is>
          <t>Phase 0 - Alignment</t>
        </is>
      </c>
      <c r="B5" s="5">
        <f>COUNTIFS(Tasks!$B$2:$B$83,$A5,Tasks!$H$2:$H$83,B$4)</f>
        <v/>
      </c>
      <c r="C5" s="5">
        <f>COUNTIFS(Tasks!$B$2:$B$83,$A5,Tasks!$H$2:$H$83,C$4)</f>
        <v/>
      </c>
      <c r="D5" s="5">
        <f>COUNTIFS(Tasks!$B$2:$B$83,$A5,Tasks!$H$2:$H$83,D$4)</f>
        <v/>
      </c>
      <c r="E5" s="5">
        <f>COUNTIFS(Tasks!$B$2:$B$83,$A5,Tasks!$H$2:$H$83,E$4)</f>
        <v/>
      </c>
      <c r="F5" s="5">
        <f>COUNTIFS(Tasks!$B$2:$B$83,$A5,Tasks!$H$2:$H$83,F$4)</f>
        <v/>
      </c>
      <c r="G5" s="5">
        <f>COUNTIFS(Tasks!$B$2:$B$83,$A5,Tasks!$H$2:$H$83,G$4)</f>
        <v/>
      </c>
      <c r="H5" s="5">
        <f>SUM(B5:G5)</f>
        <v/>
      </c>
      <c r="I5" s="17">
        <f>IF(H5-G5=0,0,F5/(H5-G5))</f>
        <v/>
      </c>
    </row>
    <row r="6">
      <c r="A6" s="4" t="inlineStr">
        <is>
          <t>Phase 1 - Foundation &amp; Trusted Corpus</t>
        </is>
      </c>
      <c r="B6" s="5">
        <f>COUNTIFS(Tasks!$B$2:$B$83,$A6,Tasks!$H$2:$H$83,B$4)</f>
        <v/>
      </c>
      <c r="C6" s="5">
        <f>COUNTIFS(Tasks!$B$2:$B$83,$A6,Tasks!$H$2:$H$83,C$4)</f>
        <v/>
      </c>
      <c r="D6" s="5">
        <f>COUNTIFS(Tasks!$B$2:$B$83,$A6,Tasks!$H$2:$H$83,D$4)</f>
        <v/>
      </c>
      <c r="E6" s="5">
        <f>COUNTIFS(Tasks!$B$2:$B$83,$A6,Tasks!$H$2:$H$83,E$4)</f>
        <v/>
      </c>
      <c r="F6" s="5">
        <f>COUNTIFS(Tasks!$B$2:$B$83,$A6,Tasks!$H$2:$H$83,F$4)</f>
        <v/>
      </c>
      <c r="G6" s="5">
        <f>COUNTIFS(Tasks!$B$2:$B$83,$A6,Tasks!$H$2:$H$83,G$4)</f>
        <v/>
      </c>
      <c r="H6" s="5">
        <f>SUM(B6:G6)</f>
        <v/>
      </c>
      <c r="I6" s="17">
        <f>IF(H6-G6=0,0,F6/(H6-G6))</f>
        <v/>
      </c>
    </row>
    <row r="7">
      <c r="A7" s="4" t="inlineStr">
        <is>
          <t>Phase 2 - Public Knowledge Access</t>
        </is>
      </c>
      <c r="B7" s="5">
        <f>COUNTIFS(Tasks!$B$2:$B$83,$A7,Tasks!$H$2:$H$83,B$4)</f>
        <v/>
      </c>
      <c r="C7" s="5">
        <f>COUNTIFS(Tasks!$B$2:$B$83,$A7,Tasks!$H$2:$H$83,C$4)</f>
        <v/>
      </c>
      <c r="D7" s="5">
        <f>COUNTIFS(Tasks!$B$2:$B$83,$A7,Tasks!$H$2:$H$83,D$4)</f>
        <v/>
      </c>
      <c r="E7" s="5">
        <f>COUNTIFS(Tasks!$B$2:$B$83,$A7,Tasks!$H$2:$H$83,E$4)</f>
        <v/>
      </c>
      <c r="F7" s="5">
        <f>COUNTIFS(Tasks!$B$2:$B$83,$A7,Tasks!$H$2:$H$83,F$4)</f>
        <v/>
      </c>
      <c r="G7" s="5">
        <f>COUNTIFS(Tasks!$B$2:$B$83,$A7,Tasks!$H$2:$H$83,G$4)</f>
        <v/>
      </c>
      <c r="H7" s="5">
        <f>SUM(B7:G7)</f>
        <v/>
      </c>
      <c r="I7" s="17">
        <f>IF(H7-G7=0,0,F7/(H7-G7))</f>
        <v/>
      </c>
    </row>
    <row r="8">
      <c r="A8" s="4" t="inlineStr">
        <is>
          <t>Phase 3 - Constituency Engagement</t>
        </is>
      </c>
      <c r="B8" s="5">
        <f>COUNTIFS(Tasks!$B$2:$B$83,$A8,Tasks!$H$2:$H$83,B$4)</f>
        <v/>
      </c>
      <c r="C8" s="5">
        <f>COUNTIFS(Tasks!$B$2:$B$83,$A8,Tasks!$H$2:$H$83,C$4)</f>
        <v/>
      </c>
      <c r="D8" s="5">
        <f>COUNTIFS(Tasks!$B$2:$B$83,$A8,Tasks!$H$2:$H$83,D$4)</f>
        <v/>
      </c>
      <c r="E8" s="5">
        <f>COUNTIFS(Tasks!$B$2:$B$83,$A8,Tasks!$H$2:$H$83,E$4)</f>
        <v/>
      </c>
      <c r="F8" s="5">
        <f>COUNTIFS(Tasks!$B$2:$B$83,$A8,Tasks!$H$2:$H$83,F$4)</f>
        <v/>
      </c>
      <c r="G8" s="5">
        <f>COUNTIFS(Tasks!$B$2:$B$83,$A8,Tasks!$H$2:$H$83,G$4)</f>
        <v/>
      </c>
      <c r="H8" s="5">
        <f>SUM(B8:G8)</f>
        <v/>
      </c>
      <c r="I8" s="17">
        <f>IF(H8-G8=0,0,F8/(H8-G8))</f>
        <v/>
      </c>
    </row>
    <row r="9">
      <c r="A9" s="4" t="inlineStr">
        <is>
          <t>Phase 4 - Parliamentary Operations</t>
        </is>
      </c>
      <c r="B9" s="5">
        <f>COUNTIFS(Tasks!$B$2:$B$83,$A9,Tasks!$H$2:$H$83,B$4)</f>
        <v/>
      </c>
      <c r="C9" s="5">
        <f>COUNTIFS(Tasks!$B$2:$B$83,$A9,Tasks!$H$2:$H$83,C$4)</f>
        <v/>
      </c>
      <c r="D9" s="5">
        <f>COUNTIFS(Tasks!$B$2:$B$83,$A9,Tasks!$H$2:$H$83,D$4)</f>
        <v/>
      </c>
      <c r="E9" s="5">
        <f>COUNTIFS(Tasks!$B$2:$B$83,$A9,Tasks!$H$2:$H$83,E$4)</f>
        <v/>
      </c>
      <c r="F9" s="5">
        <f>COUNTIFS(Tasks!$B$2:$B$83,$A9,Tasks!$H$2:$H$83,F$4)</f>
        <v/>
      </c>
      <c r="G9" s="5">
        <f>COUNTIFS(Tasks!$B$2:$B$83,$A9,Tasks!$H$2:$H$83,G$4)</f>
        <v/>
      </c>
      <c r="H9" s="5">
        <f>SUM(B9:G9)</f>
        <v/>
      </c>
      <c r="I9" s="17">
        <f>IF(H9-G9=0,0,F9/(H9-G9))</f>
        <v/>
      </c>
    </row>
    <row r="10">
      <c r="A10" s="4" t="inlineStr">
        <is>
          <t>Phase 5 - AI Governance &amp; Scale</t>
        </is>
      </c>
      <c r="B10" s="5">
        <f>COUNTIFS(Tasks!$B$2:$B$83,$A10,Tasks!$H$2:$H$83,B$4)</f>
        <v/>
      </c>
      <c r="C10" s="5">
        <f>COUNTIFS(Tasks!$B$2:$B$83,$A10,Tasks!$H$2:$H$83,C$4)</f>
        <v/>
      </c>
      <c r="D10" s="5">
        <f>COUNTIFS(Tasks!$B$2:$B$83,$A10,Tasks!$H$2:$H$83,D$4)</f>
        <v/>
      </c>
      <c r="E10" s="5">
        <f>COUNTIFS(Tasks!$B$2:$B$83,$A10,Tasks!$H$2:$H$83,E$4)</f>
        <v/>
      </c>
      <c r="F10" s="5">
        <f>COUNTIFS(Tasks!$B$2:$B$83,$A10,Tasks!$H$2:$H$83,F$4)</f>
        <v/>
      </c>
      <c r="G10" s="5">
        <f>COUNTIFS(Tasks!$B$2:$B$83,$A10,Tasks!$H$2:$H$83,G$4)</f>
        <v/>
      </c>
      <c r="H10" s="5">
        <f>SUM(B10:G10)</f>
        <v/>
      </c>
      <c r="I10" s="17">
        <f>IF(H10-G10=0,0,F10/(H10-G10))</f>
        <v/>
      </c>
    </row>
    <row r="11">
      <c r="A11" s="7" t="inlineStr">
        <is>
          <t>Total</t>
        </is>
      </c>
      <c r="B11" s="8">
        <f>SUM(B5:B10)</f>
        <v/>
      </c>
      <c r="C11" s="8">
        <f>SUM(C5:C10)</f>
        <v/>
      </c>
      <c r="D11" s="8">
        <f>SUM(D5:D10)</f>
        <v/>
      </c>
      <c r="E11" s="8">
        <f>SUM(E5:E10)</f>
        <v/>
      </c>
      <c r="F11" s="8">
        <f>SUM(F5:F10)</f>
        <v/>
      </c>
      <c r="G11" s="8">
        <f>SUM(G5:G10)</f>
        <v/>
      </c>
      <c r="H11" s="8">
        <f>SUM(H5:H10)</f>
        <v/>
      </c>
      <c r="I11" s="18">
        <f>IF(H11-G11=0,0,F11/(H11-G11))</f>
        <v/>
      </c>
    </row>
    <row r="13">
      <c r="A13" s="10" t="inlineStr">
        <is>
          <t>Other indicators</t>
        </is>
      </c>
    </row>
    <row r="14">
      <c r="A14" s="4" t="inlineStr">
        <is>
          <t>Open P0 tasks (not Done/Cancelled)</t>
        </is>
      </c>
      <c r="B14" s="5">
        <f>COUNTIFS(Tasks!$F$2:$F$83,"P0",Tasks!$H$2:$H$83,"&lt;&gt;Done",Tasks!$H$2:$H$83,"&lt;&gt;Cancelled")</f>
        <v/>
      </c>
    </row>
    <row r="15">
      <c r="A15" s="4" t="inlineStr">
        <is>
          <t>Overdue tasks</t>
        </is>
      </c>
      <c r="B15" s="5">
        <f>COUNTIF(Tasks!$N$2:$N$83,"Yes")</f>
        <v/>
      </c>
    </row>
    <row r="16">
      <c r="A16" s="4" t="inlineStr">
        <is>
          <t>Tasks with no owner (not Done/Cancelled)</t>
        </is>
      </c>
      <c r="B16" s="5">
        <f>COUNTIFS(Tasks!$G$2:$G$83,"",Tasks!$H$2:$H$83,"&lt;&gt;Done",Tasks!$H$2:$H$83,"&lt;&gt;Cancelled")</f>
        <v/>
      </c>
    </row>
    <row r="17">
      <c r="A17" s="4" t="inlineStr">
        <is>
          <t>Open decisions (Decisions sheet)</t>
        </is>
      </c>
      <c r="B17" s="5">
        <f>COUNTIF(Decisions!$D$2:$D$14,"Open")</f>
        <v/>
      </c>
    </row>
    <row r="19">
      <c r="A19" s="10" t="inlineStr">
        <is>
          <t>How to use</t>
        </is>
      </c>
    </row>
    <row r="20">
      <c r="A20" s="11" t="inlineStr">
        <is>
          <t>Edit the Tasks sheet columns Owner, Status, Start date, Due date, Depends on and Notes. Insert new rows inside the table so ranges stay valid.</t>
        </is>
      </c>
    </row>
    <row r="21">
      <c r="A21" s="11" t="inlineStr">
        <is>
          <t>Status and Priority use dropdowns. P0 = critical path / release blocker, P1 = needed for first release, P2 = later.</t>
        </is>
      </c>
    </row>
    <row r="22">
      <c r="A22" s="11" t="inlineStr">
        <is>
          <t>Overdue? flags tasks past their due date that are not Done or Cancelled. % Done excludes Cancelled tasks.</t>
        </is>
      </c>
    </row>
    <row r="23">
      <c r="A23" s="11" t="inlineStr">
        <is>
          <t>Source: GHANA_PARLIAMENT_AI_PRODUCT_SCOPE.md (phases, journeys, objectives, definition of done). The proposal PDF could not be text-extracted in this session; validate tasks against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3"/>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22" customWidth="1" min="3" max="3"/>
    <col width="58" customWidth="1" min="4" max="4"/>
    <col width="48" customWidth="1" min="5" max="5"/>
    <col width="9" customWidth="1" min="6" max="6"/>
    <col width="16" customWidth="1" min="7" max="7"/>
    <col width="14" customWidth="1" min="8" max="8"/>
    <col width="12" customWidth="1" min="9" max="9"/>
    <col width="12" customWidth="1" min="10" max="10"/>
    <col width="12" customWidth="1" min="11" max="11"/>
    <col width="16" customWidth="1" min="12" max="12"/>
    <col width="30" customWidth="1" min="13" max="13"/>
    <col width="10" customWidth="1" min="14" max="14"/>
  </cols>
  <sheetData>
    <row r="1" ht="30" customHeight="1">
      <c r="A1" s="12" t="inlineStr">
        <is>
          <t>ID</t>
        </is>
      </c>
      <c r="B1" s="12" t="inlineStr">
        <is>
          <t>Phase</t>
        </is>
      </c>
      <c r="C1" s="12" t="inlineStr">
        <is>
          <t>Workstream</t>
        </is>
      </c>
      <c r="D1" s="12" t="inlineStr">
        <is>
          <t>Task</t>
        </is>
      </c>
      <c r="E1" s="12" t="inlineStr">
        <is>
          <t>Acceptance criteria</t>
        </is>
      </c>
      <c r="F1" s="12" t="inlineStr">
        <is>
          <t>Priority</t>
        </is>
      </c>
      <c r="G1" s="12" t="inlineStr">
        <is>
          <t>Owner</t>
        </is>
      </c>
      <c r="H1" s="12" t="inlineStr">
        <is>
          <t>Status</t>
        </is>
      </c>
      <c r="I1" s="12" t="inlineStr">
        <is>
          <t>Start date</t>
        </is>
      </c>
      <c r="J1" s="12" t="inlineStr">
        <is>
          <t>Due date</t>
        </is>
      </c>
      <c r="K1" s="12" t="inlineStr">
        <is>
          <t>Depends on</t>
        </is>
      </c>
      <c r="L1" s="12" t="inlineStr">
        <is>
          <t>Spec reference</t>
        </is>
      </c>
      <c r="M1" s="12" t="inlineStr">
        <is>
          <t>Notes</t>
        </is>
      </c>
      <c r="N1" s="12" t="inlineStr">
        <is>
          <t>Overdue?</t>
        </is>
      </c>
    </row>
    <row r="2">
      <c r="A2" s="13" t="inlineStr">
        <is>
          <t>T-001</t>
        </is>
      </c>
      <c r="B2" s="13" t="inlineStr">
        <is>
          <t>Phase 0 - Alignment</t>
        </is>
      </c>
      <c r="C2" s="13" t="inlineStr">
        <is>
          <t>Product &amp; Governance</t>
        </is>
      </c>
      <c r="D2" s="13" t="inlineStr">
        <is>
          <t>Confirm stakeholders, roles and data owners</t>
        </is>
      </c>
      <c r="E2" s="13" t="inlineStr">
        <is>
          <t>Stakeholder register signed off by Parliament</t>
        </is>
      </c>
      <c r="F2" s="13" t="inlineStr">
        <is>
          <t>P0</t>
        </is>
      </c>
      <c r="G2" s="13" t="n"/>
      <c r="H2" s="13" t="inlineStr">
        <is>
          <t>Not started</t>
        </is>
      </c>
      <c r="I2" s="19" t="n"/>
      <c r="J2" s="19" t="n"/>
      <c r="K2" s="13" t="n"/>
      <c r="L2" s="13" t="inlineStr">
        <is>
          <t>Sec 11 / Obj 1</t>
        </is>
      </c>
      <c r="M2" s="13" t="n"/>
      <c r="N2" s="15">
        <f>IF(AND(J2&lt;&gt;"",H2&lt;&gt;"Done",H2&lt;&gt;"Cancelled",J2&lt;TODAY()),"Yes","")</f>
        <v/>
      </c>
    </row>
    <row r="3">
      <c r="A3" s="13" t="inlineStr">
        <is>
          <t>T-002</t>
        </is>
      </c>
      <c r="B3" s="13" t="inlineStr">
        <is>
          <t>Phase 0 - Alignment</t>
        </is>
      </c>
      <c r="C3" s="13" t="inlineStr">
        <is>
          <t>Product &amp; Governance</t>
        </is>
      </c>
      <c r="D3" s="13" t="inlineStr">
        <is>
          <t>Identify authoritative records source (website, Hansard repo, Alfresco, other ECM)</t>
        </is>
      </c>
      <c r="E3" s="13" t="inlineStr">
        <is>
          <t>Written decision on source of truth per record type</t>
        </is>
      </c>
      <c r="F3" s="13" t="inlineStr">
        <is>
          <t>P0</t>
        </is>
      </c>
      <c r="G3" s="13" t="n"/>
      <c r="H3" s="13" t="inlineStr">
        <is>
          <t>Not started</t>
        </is>
      </c>
      <c r="I3" s="19" t="n"/>
      <c r="J3" s="19" t="n"/>
      <c r="K3" s="13" t="n"/>
      <c r="L3" s="13" t="inlineStr">
        <is>
          <t>Sec 13</t>
        </is>
      </c>
      <c r="M3" s="13" t="n"/>
      <c r="N3" s="15">
        <f>IF(AND(J3&lt;&gt;"",H3&lt;&gt;"Done",H3&lt;&gt;"Cancelled",J3&lt;TODAY()),"Yes","")</f>
        <v/>
      </c>
    </row>
    <row r="4">
      <c r="A4" s="13" t="inlineStr">
        <is>
          <t>T-003</t>
        </is>
      </c>
      <c r="B4" s="13" t="inlineStr">
        <is>
          <t>Phase 0 - Alignment</t>
        </is>
      </c>
      <c r="C4" s="13" t="inlineStr">
        <is>
          <t>Product &amp; Governance</t>
        </is>
      </c>
      <c r="D4" s="13" t="inlineStr">
        <is>
          <t>Define who may approve content for public AI retrieval</t>
        </is>
      </c>
      <c r="E4" s="13" t="inlineStr">
        <is>
          <t>Approver roles named and documented</t>
        </is>
      </c>
      <c r="F4" s="13" t="inlineStr">
        <is>
          <t>P0</t>
        </is>
      </c>
      <c r="G4" s="13" t="n"/>
      <c r="H4" s="13" t="inlineStr">
        <is>
          <t>Not started</t>
        </is>
      </c>
      <c r="I4" s="19" t="n"/>
      <c r="J4" s="19" t="n"/>
      <c r="K4" s="13" t="n"/>
      <c r="L4" s="13" t="inlineStr">
        <is>
          <t>Sec 13</t>
        </is>
      </c>
      <c r="M4" s="13" t="n"/>
      <c r="N4" s="15">
        <f>IF(AND(J4&lt;&gt;"",H4&lt;&gt;"Done",H4&lt;&gt;"Cancelled",J4&lt;TODAY()),"Yes","")</f>
        <v/>
      </c>
    </row>
    <row r="5">
      <c r="A5" s="13" t="inlineStr">
        <is>
          <t>T-004</t>
        </is>
      </c>
      <c r="B5" s="13" t="inlineStr">
        <is>
          <t>Phase 0 - Alignment</t>
        </is>
      </c>
      <c r="C5" s="13" t="inlineStr">
        <is>
          <t>Product &amp; Governance</t>
        </is>
      </c>
      <c r="D5" s="13" t="inlineStr">
        <is>
          <t>Decide public access model (anonymous / account / hybrid)</t>
        </is>
      </c>
      <c r="E5" s="13" t="inlineStr">
        <is>
          <t>Decision recorded in ADR</t>
        </is>
      </c>
      <c r="F5" s="13" t="inlineStr">
        <is>
          <t>P0</t>
        </is>
      </c>
      <c r="G5" s="13" t="n"/>
      <c r="H5" s="13" t="inlineStr">
        <is>
          <t>Not started</t>
        </is>
      </c>
      <c r="I5" s="19" t="n"/>
      <c r="J5" s="19" t="n"/>
      <c r="K5" s="13" t="n"/>
      <c r="L5" s="13" t="inlineStr">
        <is>
          <t>Sec 13</t>
        </is>
      </c>
      <c r="M5" s="13" t="n"/>
      <c r="N5" s="15">
        <f>IF(AND(J5&lt;&gt;"",H5&lt;&gt;"Done",H5&lt;&gt;"Cancelled",J5&lt;TODAY()),"Yes","")</f>
        <v/>
      </c>
    </row>
    <row r="6">
      <c r="A6" s="13" t="inlineStr">
        <is>
          <t>T-005</t>
        </is>
      </c>
      <c r="B6" s="13" t="inlineStr">
        <is>
          <t>Phase 0 - Alignment</t>
        </is>
      </c>
      <c r="C6" s="13" t="inlineStr">
        <is>
          <t>Product &amp; Governance</t>
        </is>
      </c>
      <c r="D6" s="13" t="inlineStr">
        <is>
          <t>Define 'citizen case' vs message, petition, complaint, referral</t>
        </is>
      </c>
      <c r="E6" s="13" t="inlineStr">
        <is>
          <t>Approved domain glossary</t>
        </is>
      </c>
      <c r="F6" s="13" t="inlineStr">
        <is>
          <t>P0</t>
        </is>
      </c>
      <c r="G6" s="13" t="n"/>
      <c r="H6" s="13" t="inlineStr">
        <is>
          <t>Not started</t>
        </is>
      </c>
      <c r="I6" s="19" t="n"/>
      <c r="J6" s="19" t="n"/>
      <c r="K6" s="13" t="n"/>
      <c r="L6" s="13" t="inlineStr">
        <is>
          <t>Sec 13</t>
        </is>
      </c>
      <c r="M6" s="13" t="n"/>
      <c r="N6" s="15">
        <f>IF(AND(J6&lt;&gt;"",H6&lt;&gt;"Done",H6&lt;&gt;"Cancelled",J6&lt;TODAY()),"Yes","")</f>
        <v/>
      </c>
    </row>
    <row r="7">
      <c r="A7" s="13" t="inlineStr">
        <is>
          <t>T-006</t>
        </is>
      </c>
      <c r="B7" s="13" t="inlineStr">
        <is>
          <t>Phase 0 - Alignment</t>
        </is>
      </c>
      <c r="C7" s="13" t="inlineStr">
        <is>
          <t>Product &amp; Governance</t>
        </is>
      </c>
      <c r="D7" s="13" t="inlineStr">
        <is>
          <t>Agree phase-one languages and support levels</t>
        </is>
      </c>
      <c r="E7" s="13" t="inlineStr">
        <is>
          <t>Language list with quality/support level per language</t>
        </is>
      </c>
      <c r="F7" s="13" t="inlineStr">
        <is>
          <t>P1</t>
        </is>
      </c>
      <c r="G7" s="13" t="n"/>
      <c r="H7" s="13" t="inlineStr">
        <is>
          <t>Not started</t>
        </is>
      </c>
      <c r="I7" s="19" t="n"/>
      <c r="J7" s="19" t="n"/>
      <c r="K7" s="13" t="n"/>
      <c r="L7" s="13" t="inlineStr">
        <is>
          <t>Sec 13 / DoD 9</t>
        </is>
      </c>
      <c r="M7" s="13" t="n"/>
      <c r="N7" s="15">
        <f>IF(AND(J7&lt;&gt;"",H7&lt;&gt;"Done",H7&lt;&gt;"Cancelled",J7&lt;TODAY()),"Yes","")</f>
        <v/>
      </c>
    </row>
    <row r="8">
      <c r="A8" s="13" t="inlineStr">
        <is>
          <t>T-007</t>
        </is>
      </c>
      <c r="B8" s="13" t="inlineStr">
        <is>
          <t>Phase 0 - Alignment</t>
        </is>
      </c>
      <c r="C8" s="13" t="inlineStr">
        <is>
          <t>Product &amp; Governance</t>
        </is>
      </c>
      <c r="D8" s="13" t="inlineStr">
        <is>
          <t>Agree release thresholds (answer quality, citation completeness, latency, cost)</t>
        </is>
      </c>
      <c r="E8" s="13" t="inlineStr">
        <is>
          <t>Numeric thresholds approved</t>
        </is>
      </c>
      <c r="F8" s="13" t="inlineStr">
        <is>
          <t>P0</t>
        </is>
      </c>
      <c r="G8" s="13" t="n"/>
      <c r="H8" s="13" t="inlineStr">
        <is>
          <t>Not started</t>
        </is>
      </c>
      <c r="I8" s="19" t="n"/>
      <c r="J8" s="19" t="n"/>
      <c r="K8" s="13" t="n"/>
      <c r="L8" s="13" t="inlineStr">
        <is>
          <t>Sec 13</t>
        </is>
      </c>
      <c r="M8" s="13" t="n"/>
      <c r="N8" s="15">
        <f>IF(AND(J8&lt;&gt;"",H8&lt;&gt;"Done",H8&lt;&gt;"Cancelled",J8&lt;TODAY()),"Yes","")</f>
        <v/>
      </c>
    </row>
    <row r="9">
      <c r="A9" s="13" t="inlineStr">
        <is>
          <t>T-008</t>
        </is>
      </c>
      <c r="B9" s="13" t="inlineStr">
        <is>
          <t>Phase 0 - Alignment</t>
        </is>
      </c>
      <c r="C9" s="13" t="inlineStr">
        <is>
          <t>Product &amp; Governance</t>
        </is>
      </c>
      <c r="D9" s="13" t="inlineStr">
        <is>
          <t>Name AI incident owner and public-answering kill-switch authority</t>
        </is>
      </c>
      <c r="E9" s="13" t="inlineStr">
        <is>
          <t>Owner and runbook trigger defined</t>
        </is>
      </c>
      <c r="F9" s="13" t="inlineStr">
        <is>
          <t>P0</t>
        </is>
      </c>
      <c r="G9" s="13" t="n"/>
      <c r="H9" s="13" t="inlineStr">
        <is>
          <t>Not started</t>
        </is>
      </c>
      <c r="I9" s="19" t="n"/>
      <c r="J9" s="19" t="n"/>
      <c r="K9" s="13" t="n"/>
      <c r="L9" s="13" t="inlineStr">
        <is>
          <t>Sec 13</t>
        </is>
      </c>
      <c r="M9" s="13" t="n"/>
      <c r="N9" s="15">
        <f>IF(AND(J9&lt;&gt;"",H9&lt;&gt;"Done",H9&lt;&gt;"Cancelled",J9&lt;TODAY()),"Yes","")</f>
        <v/>
      </c>
    </row>
    <row r="10">
      <c r="A10" s="13" t="inlineStr">
        <is>
          <t>T-009</t>
        </is>
      </c>
      <c r="B10" s="13" t="inlineStr">
        <is>
          <t>Phase 0 - Alignment</t>
        </is>
      </c>
      <c r="C10" s="13" t="inlineStr">
        <is>
          <t>Architecture</t>
        </is>
      </c>
      <c r="D10" s="13" t="inlineStr">
        <is>
          <t>Decide identity provider, persistence, hosting, model providers, notification channels</t>
        </is>
      </c>
      <c r="E10" s="13" t="inlineStr">
        <is>
          <t>ADRs approved for each</t>
        </is>
      </c>
      <c r="F10" s="13" t="inlineStr">
        <is>
          <t>P0</t>
        </is>
      </c>
      <c r="G10" s="13" t="n"/>
      <c r="H10" s="13" t="inlineStr">
        <is>
          <t>Not started</t>
        </is>
      </c>
      <c r="I10" s="19" t="n"/>
      <c r="J10" s="19" t="n"/>
      <c r="K10" s="13" t="n"/>
      <c r="L10" s="13" t="inlineStr">
        <is>
          <t>Sec 11</t>
        </is>
      </c>
      <c r="M10" s="13" t="n"/>
      <c r="N10" s="15">
        <f>IF(AND(J10&lt;&gt;"",H10&lt;&gt;"Done",H10&lt;&gt;"Cancelled",J10&lt;TODAY()),"Yes","")</f>
        <v/>
      </c>
    </row>
    <row r="11">
      <c r="A11" s="13" t="inlineStr">
        <is>
          <t>T-010</t>
        </is>
      </c>
      <c r="B11" s="13" t="inlineStr">
        <is>
          <t>Phase 0 - Alignment</t>
        </is>
      </c>
      <c r="C11" s="13" t="inlineStr">
        <is>
          <t>Architecture</t>
        </is>
      </c>
      <c r="D11" s="13" t="inlineStr">
        <is>
          <t>Decide Alfresco role (repository vs system of record)</t>
        </is>
      </c>
      <c r="E11" s="13" t="inlineStr">
        <is>
          <t>ADR approved</t>
        </is>
      </c>
      <c r="F11" s="13" t="inlineStr">
        <is>
          <t>P0</t>
        </is>
      </c>
      <c r="G11" s="13" t="n"/>
      <c r="H11" s="13" t="inlineStr">
        <is>
          <t>Not started</t>
        </is>
      </c>
      <c r="I11" s="19" t="n"/>
      <c r="J11" s="19" t="n"/>
      <c r="K11" s="13" t="n"/>
      <c r="L11" s="13" t="inlineStr">
        <is>
          <t>Sec 7.2</t>
        </is>
      </c>
      <c r="M11" s="13" t="n"/>
      <c r="N11" s="15">
        <f>IF(AND(J11&lt;&gt;"",H11&lt;&gt;"Done",H11&lt;&gt;"Cancelled",J11&lt;TODAY()),"Yes","")</f>
        <v/>
      </c>
    </row>
    <row r="12">
      <c r="A12" s="13" t="inlineStr">
        <is>
          <t>T-011</t>
        </is>
      </c>
      <c r="B12" s="13" t="inlineStr">
        <is>
          <t>Phase 0 - Alignment</t>
        </is>
      </c>
      <c r="C12" s="13" t="inlineStr">
        <is>
          <t>Architecture</t>
        </is>
      </c>
      <c r="D12" s="13" t="inlineStr">
        <is>
          <t>Confirm model hosting and data-residency constraints</t>
        </is>
      </c>
      <c r="E12" s="13" t="inlineStr">
        <is>
          <t>Constraints documented and checked against providers</t>
        </is>
      </c>
      <c r="F12" s="13" t="inlineStr">
        <is>
          <t>P0</t>
        </is>
      </c>
      <c r="G12" s="13" t="n"/>
      <c r="H12" s="13" t="inlineStr">
        <is>
          <t>Not started</t>
        </is>
      </c>
      <c r="I12" s="19" t="n"/>
      <c r="J12" s="19" t="n"/>
      <c r="K12" s="13" t="n"/>
      <c r="L12" s="13" t="inlineStr">
        <is>
          <t>Sec 13</t>
        </is>
      </c>
      <c r="M12" s="13" t="n"/>
      <c r="N12" s="15">
        <f>IF(AND(J12&lt;&gt;"",H12&lt;&gt;"Done",H12&lt;&gt;"Cancelled",J12&lt;TODAY()),"Yes","")</f>
        <v/>
      </c>
    </row>
    <row r="13">
      <c r="A13" s="13" t="inlineStr">
        <is>
          <t>T-012</t>
        </is>
      </c>
      <c r="B13" s="13" t="inlineStr">
        <is>
          <t>Phase 0 - Alignment</t>
        </is>
      </c>
      <c r="C13" s="13" t="inlineStr">
        <is>
          <t>Architecture</t>
        </is>
      </c>
      <c r="D13" s="13" t="inlineStr">
        <is>
          <t>Draft versioned API contract (public vs internal surfaces, auth, errors, pagination, audit IDs)</t>
        </is>
      </c>
      <c r="E13" s="13" t="inlineStr">
        <is>
          <t>Contract reviewed and versioned (OpenAPI)</t>
        </is>
      </c>
      <c r="F13" s="13" t="inlineStr">
        <is>
          <t>P0</t>
        </is>
      </c>
      <c r="G13" s="13" t="n"/>
      <c r="H13" s="13" t="inlineStr">
        <is>
          <t>Not started</t>
        </is>
      </c>
      <c r="I13" s="19" t="n"/>
      <c r="J13" s="19" t="n"/>
      <c r="K13" s="13" t="n"/>
      <c r="L13" s="13" t="inlineStr">
        <is>
          <t>Obj 1</t>
        </is>
      </c>
      <c r="M13" s="13" t="n"/>
      <c r="N13" s="15">
        <f>IF(AND(J13&lt;&gt;"",H13&lt;&gt;"Done",H13&lt;&gt;"Cancelled",J13&lt;TODAY()),"Yes","")</f>
        <v/>
      </c>
    </row>
    <row r="14">
      <c r="A14" s="13" t="inlineStr">
        <is>
          <t>T-013</t>
        </is>
      </c>
      <c r="B14" s="13" t="inlineStr">
        <is>
          <t>Phase 0 - Alignment</t>
        </is>
      </c>
      <c r="C14" s="13" t="inlineStr">
        <is>
          <t>Privacy &amp; Legal</t>
        </is>
      </c>
      <c r="D14" s="13" t="inlineStr">
        <is>
          <t>Define consent, retention, deletion, correction and export rules (Ghana Data Protection Act)</t>
        </is>
      </c>
      <c r="E14" s="13" t="inlineStr">
        <is>
          <t>Privacy policy and retention schedule approved</t>
        </is>
      </c>
      <c r="F14" s="13" t="inlineStr">
        <is>
          <t>P0</t>
        </is>
      </c>
      <c r="G14" s="13" t="n"/>
      <c r="H14" s="13" t="inlineStr">
        <is>
          <t>Not started</t>
        </is>
      </c>
      <c r="I14" s="19" t="n"/>
      <c r="J14" s="19" t="n"/>
      <c r="K14" s="13" t="n"/>
      <c r="L14" s="13" t="inlineStr">
        <is>
          <t>Sec 8 / Sec 13</t>
        </is>
      </c>
      <c r="M14" s="13" t="n"/>
      <c r="N14" s="15">
        <f>IF(AND(J14&lt;&gt;"",H14&lt;&gt;"Done",H14&lt;&gt;"Cancelled",J14&lt;TODAY()),"Yes","")</f>
        <v/>
      </c>
    </row>
    <row r="15">
      <c r="A15" s="13" t="inlineStr">
        <is>
          <t>T-014</t>
        </is>
      </c>
      <c r="B15" s="13" t="inlineStr">
        <is>
          <t>Phase 0 - Alignment</t>
        </is>
      </c>
      <c r="C15" s="13" t="inlineStr">
        <is>
          <t>Privacy &amp; Legal</t>
        </is>
      </c>
      <c r="D15" s="13" t="inlineStr">
        <is>
          <t>Decide public visibility of MP attendance, party, contact and case data</t>
        </is>
      </c>
      <c r="E15" s="13" t="inlineStr">
        <is>
          <t>Visibility matrix approved</t>
        </is>
      </c>
      <c r="F15" s="13" t="inlineStr">
        <is>
          <t>P1</t>
        </is>
      </c>
      <c r="G15" s="13" t="n"/>
      <c r="H15" s="13" t="inlineStr">
        <is>
          <t>Not started</t>
        </is>
      </c>
      <c r="I15" s="19" t="n"/>
      <c r="J15" s="19" t="n"/>
      <c r="K15" s="13" t="n"/>
      <c r="L15" s="13" t="inlineStr">
        <is>
          <t>Sec 13</t>
        </is>
      </c>
      <c r="M15" s="13" t="n"/>
      <c r="N15" s="15">
        <f>IF(AND(J15&lt;&gt;"",H15&lt;&gt;"Done",H15&lt;&gt;"Cancelled",J15&lt;TODAY()),"Yes","")</f>
        <v/>
      </c>
    </row>
    <row r="16">
      <c r="A16" s="13" t="inlineStr">
        <is>
          <t>T-015</t>
        </is>
      </c>
      <c r="B16" s="13" t="inlineStr">
        <is>
          <t>Phase 0 - Alignment</t>
        </is>
      </c>
      <c r="C16" s="13" t="inlineStr">
        <is>
          <t>Quality</t>
        </is>
      </c>
      <c r="D16" s="13" t="inlineStr">
        <is>
          <t>Create risk register</t>
        </is>
      </c>
      <c r="E16" s="13" t="inlineStr">
        <is>
          <t>Register with owners and mitigations</t>
        </is>
      </c>
      <c r="F16" s="13" t="inlineStr">
        <is>
          <t>P1</t>
        </is>
      </c>
      <c r="G16" s="13" t="n"/>
      <c r="H16" s="13" t="inlineStr">
        <is>
          <t>Not started</t>
        </is>
      </c>
      <c r="I16" s="19" t="n"/>
      <c r="J16" s="19" t="n"/>
      <c r="K16" s="13" t="n"/>
      <c r="L16" s="13" t="inlineStr">
        <is>
          <t>Sec 11</t>
        </is>
      </c>
      <c r="M16" s="13" t="n"/>
      <c r="N16" s="15">
        <f>IF(AND(J16&lt;&gt;"",H16&lt;&gt;"Done",H16&lt;&gt;"Cancelled",J16&lt;TODAY()),"Yes","")</f>
        <v/>
      </c>
    </row>
    <row r="17">
      <c r="A17" s="13" t="inlineStr">
        <is>
          <t>T-016</t>
        </is>
      </c>
      <c r="B17" s="13" t="inlineStr">
        <is>
          <t>Phase 0 - Alignment</t>
        </is>
      </c>
      <c r="C17" s="13" t="inlineStr">
        <is>
          <t>Quality</t>
        </is>
      </c>
      <c r="D17" s="13" t="inlineStr">
        <is>
          <t>Build representative evaluation dataset (real questions + expected sources)</t>
        </is>
      </c>
      <c r="E17" s="13" t="inlineStr">
        <is>
          <t>Dataset versioned; covers agreed languages</t>
        </is>
      </c>
      <c r="F17" s="13" t="inlineStr">
        <is>
          <t>P0</t>
        </is>
      </c>
      <c r="G17" s="13" t="n"/>
      <c r="H17" s="13" t="inlineStr">
        <is>
          <t>Not started</t>
        </is>
      </c>
      <c r="I17" s="19" t="n"/>
      <c r="J17" s="19" t="n"/>
      <c r="K17" s="13" t="n"/>
      <c r="L17" s="13" t="inlineStr">
        <is>
          <t>Sec 14.7</t>
        </is>
      </c>
      <c r="M17" s="13" t="n"/>
      <c r="N17" s="15">
        <f>IF(AND(J17&lt;&gt;"",H17&lt;&gt;"Done",H17&lt;&gt;"Cancelled",J17&lt;TODAY()),"Yes","")</f>
        <v/>
      </c>
    </row>
    <row r="18">
      <c r="A18" s="13" t="inlineStr">
        <is>
          <t>T-017</t>
        </is>
      </c>
      <c r="B18" s="13" t="inlineStr">
        <is>
          <t>Phase 0 - Alignment</t>
        </is>
      </c>
      <c r="C18" s="13" t="inlineStr">
        <is>
          <t>Delivery</t>
        </is>
      </c>
      <c r="D18" s="13" t="inlineStr">
        <is>
          <t>Freeze UI-only feature work until contract approved</t>
        </is>
      </c>
      <c r="E18" s="13" t="inlineStr">
        <is>
          <t>Freeze communicated to team</t>
        </is>
      </c>
      <c r="F18" s="13" t="inlineStr">
        <is>
          <t>P1</t>
        </is>
      </c>
      <c r="G18" s="13" t="n"/>
      <c r="H18" s="13" t="inlineStr">
        <is>
          <t>Not started</t>
        </is>
      </c>
      <c r="I18" s="19" t="n"/>
      <c r="J18" s="19" t="n"/>
      <c r="K18" s="13" t="n"/>
      <c r="L18" s="13" t="inlineStr">
        <is>
          <t>Sec 14.1</t>
        </is>
      </c>
      <c r="M18" s="13" t="n"/>
      <c r="N18" s="15">
        <f>IF(AND(J18&lt;&gt;"",H18&lt;&gt;"Done",H18&lt;&gt;"Cancelled",J18&lt;TODAY()),"Yes","")</f>
        <v/>
      </c>
    </row>
    <row r="19">
      <c r="A19" s="13" t="inlineStr">
        <is>
          <t>T-018</t>
        </is>
      </c>
      <c r="B19" s="13" t="inlineStr">
        <is>
          <t>Phase 0 - Alignment</t>
        </is>
      </c>
      <c r="C19" s="13" t="inlineStr">
        <is>
          <t>Security</t>
        </is>
      </c>
      <c r="D19" s="13" t="inlineStr">
        <is>
          <t>Remove hard-coded Alfresco admin/admin credentials from AlfrescoService</t>
        </is>
      </c>
      <c r="E19" s="13" t="inlineStr">
        <is>
          <t>No credentials in frontend bundle; verified by scan</t>
        </is>
      </c>
      <c r="F19" s="13" t="inlineStr">
        <is>
          <t>P0</t>
        </is>
      </c>
      <c r="G19" s="13" t="n"/>
      <c r="H19" s="13" t="inlineStr">
        <is>
          <t>In review</t>
        </is>
      </c>
      <c r="I19" s="19" t="n">
        <v>46304</v>
      </c>
      <c r="J19" s="19" t="n"/>
      <c r="K19" s="13" t="n"/>
      <c r="L19" s="13" t="inlineStr">
        <is>
          <t>Sec 4.2 / 14.2</t>
        </is>
      </c>
      <c r="M19" s="13" t="inlineStr">
        <is>
          <t>Browser Alfresco login (admin/admin), AlfrescoService and @alfresco/js-api removed from the admin app; repository access is now server-side only. GAP: confirm with a bundle scan after the next build.</t>
        </is>
      </c>
      <c r="N19" s="15">
        <f>IF(AND(J19&lt;&gt;"",H19&lt;&gt;"Done",H19&lt;&gt;"Cancelled",J19&lt;TODAY()),"Yes","")</f>
        <v/>
      </c>
    </row>
    <row r="20">
      <c r="A20" s="13" t="inlineStr">
        <is>
          <t>T-019</t>
        </is>
      </c>
      <c r="B20" s="13" t="inlineStr">
        <is>
          <t>Phase 1 - Foundation &amp; Trusted Corpus</t>
        </is>
      </c>
      <c r="C20" s="13" t="inlineStr">
        <is>
          <t>Backend Platform</t>
        </is>
      </c>
      <c r="D20" s="13" t="inlineStr">
        <is>
          <t>Backend skeleton, API gateway/BFF, CORS, rate limiting</t>
        </is>
      </c>
      <c r="E20" s="13" t="inlineStr">
        <is>
          <t>Service deployed to staging with health checks</t>
        </is>
      </c>
      <c r="F20" s="13" t="inlineStr">
        <is>
          <t>P0</t>
        </is>
      </c>
      <c r="G20" s="13" t="n"/>
      <c r="H20" s="13" t="inlineStr">
        <is>
          <t>In review</t>
        </is>
      </c>
      <c r="I20" s="19" t="n">
        <v>46304</v>
      </c>
      <c r="J20" s="19" t="n"/>
      <c r="K20" s="13" t="n"/>
      <c r="L20" s="13" t="inlineStr">
        <is>
          <t>Sec 7.0</t>
        </is>
      </c>
      <c r="M20" s="13" t="inlineStr">
        <is>
          <t>Built (NestJS). Booted the compiled server against real Postgres (scripts/smoke.mjs): helmet, CORS allow-list/deny, health, rate limit 429, request IDs, swagger off in prod all verified. Dockerfile + compose written but NOT built (no Docker here). GAP: not deployed to a staging environment.</t>
        </is>
      </c>
      <c r="N20" s="15">
        <f>IF(AND(J20&lt;&gt;"",H20&lt;&gt;"Done",H20&lt;&gt;"Cancelled",J20&lt;TODAY()),"Yes","")</f>
        <v/>
      </c>
    </row>
    <row r="21">
      <c r="A21" s="13" t="inlineStr">
        <is>
          <t>T-020</t>
        </is>
      </c>
      <c r="B21" s="13" t="inlineStr">
        <is>
          <t>Phase 1 - Foundation &amp; Trusted Corpus</t>
        </is>
      </c>
      <c r="C21" s="13" t="inlineStr">
        <is>
          <t>Backend Platform</t>
        </is>
      </c>
      <c r="D21" s="13" t="inlineStr">
        <is>
          <t>PostgreSQL schema for core entities (Document, Chunk, Sitting, Bill, MP, Constituency, Case, Approval, AuditEvent)</t>
        </is>
      </c>
      <c r="E21" s="13" t="inlineStr">
        <is>
          <t>Migrations applied; data survives restart</t>
        </is>
      </c>
      <c r="F21" s="13" t="inlineStr">
        <is>
          <t>P0</t>
        </is>
      </c>
      <c r="G21" s="13" t="n"/>
      <c r="H21" s="13" t="inlineStr">
        <is>
          <t>In review</t>
        </is>
      </c>
      <c r="I21" s="19" t="n">
        <v>46304</v>
      </c>
      <c r="J21" s="19" t="n"/>
      <c r="K21" s="13" t="n"/>
      <c r="L21" s="13" t="inlineStr">
        <is>
          <t>Sec 7.3</t>
        </is>
      </c>
      <c r="M21" s="13" t="inlineStr">
        <is>
          <t>Prisma schema + migrations 0001/0002 applied to a real PostgreSQL 18 in tests. GAP: restart-persistence not tested explicitly; CitizenCase etc. tables exist but have no API yet.</t>
        </is>
      </c>
      <c r="N21" s="15">
        <f>IF(AND(J21&lt;&gt;"",H21&lt;&gt;"Done",H21&lt;&gt;"Cancelled",J21&lt;TODAY()),"Yes","")</f>
        <v/>
      </c>
    </row>
    <row r="22">
      <c r="A22" s="13" t="inlineStr">
        <is>
          <t>T-021</t>
        </is>
      </c>
      <c r="B22" s="13" t="inlineStr">
        <is>
          <t>Phase 1 - Foundation &amp; Trusted Corpus</t>
        </is>
      </c>
      <c r="C22" s="13" t="inlineStr">
        <is>
          <t>Identity &amp; Access</t>
        </is>
      </c>
      <c r="D22" s="13" t="inlineStr">
        <is>
          <t>OIDC integration with Parliament IdP</t>
        </is>
      </c>
      <c r="E22" s="13" t="inlineStr">
        <is>
          <t>Staff login works in staging</t>
        </is>
      </c>
      <c r="F22" s="13" t="inlineStr">
        <is>
          <t>P0</t>
        </is>
      </c>
      <c r="G22" s="13" t="n"/>
      <c r="H22" s="13" t="inlineStr">
        <is>
          <t>In review</t>
        </is>
      </c>
      <c r="I22" s="19" t="n">
        <v>46304</v>
      </c>
      <c r="J22" s="19" t="n"/>
      <c r="K22" s="13" t="n"/>
      <c r="L22" s="13" t="inlineStr">
        <is>
          <t>Sec 7.2</t>
        </is>
      </c>
      <c r="M22" s="13" t="inlineStr">
        <is>
          <t>Verified with real RS256-signed JWTs against a local JWKS server: valid ok; expired, wrong audience, wrong issuer, wrong key, alg=none, garbage all 401; inactive/unprovisioned user 403. Admin console has OIDC code+PKCE sign-in (oidc-client-ts), unit-untested. GAP: not tested against the real Parliament IdP (not chosen yet).</t>
        </is>
      </c>
      <c r="N22" s="15">
        <f>IF(AND(J22&lt;&gt;"",H22&lt;&gt;"Done",H22&lt;&gt;"Cancelled",J22&lt;TODAY()),"Yes","")</f>
        <v/>
      </c>
    </row>
    <row r="23">
      <c r="A23" s="13" t="inlineStr">
        <is>
          <t>T-022</t>
        </is>
      </c>
      <c r="B23" s="13" t="inlineStr">
        <is>
          <t>Phase 1 - Foundation &amp; Trusted Corpus</t>
        </is>
      </c>
      <c r="C23" s="13" t="inlineStr">
        <is>
          <t>Identity &amp; Access</t>
        </is>
      </c>
      <c r="D23" s="13" t="inlineStr">
        <is>
          <t>Backend RBAC (public, staff, MP, researcher, reviewer, admin) with constituency scoping</t>
        </is>
      </c>
      <c r="E23" s="13" t="inlineStr">
        <is>
          <t>Authorization tests cover every sensitive operation</t>
        </is>
      </c>
      <c r="F23" s="13" t="inlineStr">
        <is>
          <t>P0</t>
        </is>
      </c>
      <c r="G23" s="13" t="n"/>
      <c r="H23" s="13" t="inlineStr">
        <is>
          <t>In review</t>
        </is>
      </c>
      <c r="I23" s="19" t="n">
        <v>46304</v>
      </c>
      <c r="J23" s="19" t="n"/>
      <c r="K23" s="13" t="n"/>
      <c r="L23" s="13" t="inlineStr">
        <is>
          <t>Sec 8</t>
        </is>
      </c>
      <c r="M23" s="13" t="inlineStr">
        <is>
          <t>Roles guard + constituency scope guard + assertConstituencyAccess; deny-by-default; denials audited. Unit tested and exercised on document/job routes. GAP: no constituency-scoped routes exist yet (cases come in Phase 3).</t>
        </is>
      </c>
      <c r="N23" s="15">
        <f>IF(AND(J23&lt;&gt;"",H23&lt;&gt;"Done",H23&lt;&gt;"Cancelled",J23&lt;TODAY()),"Yes","")</f>
        <v/>
      </c>
    </row>
    <row r="24">
      <c r="A24" s="13" t="inlineStr">
        <is>
          <t>T-023</t>
        </is>
      </c>
      <c r="B24" s="13" t="inlineStr">
        <is>
          <t>Phase 1 - Foundation &amp; Trusted Corpus</t>
        </is>
      </c>
      <c r="C24" s="13" t="inlineStr">
        <is>
          <t>Audit &amp; Observability</t>
        </is>
      </c>
      <c r="D24" s="13" t="inlineStr">
        <is>
          <t>Append-only audit event service with correlation IDs</t>
        </is>
      </c>
      <c r="E24" s="13" t="inlineStr">
        <is>
          <t>Every mutation emits an audit event</t>
        </is>
      </c>
      <c r="F24" s="13" t="inlineStr">
        <is>
          <t>P0</t>
        </is>
      </c>
      <c r="G24" s="13" t="n"/>
      <c r="H24" s="13" t="inlineStr">
        <is>
          <t>In review</t>
        </is>
      </c>
      <c r="I24" s="19" t="n">
        <v>46304</v>
      </c>
      <c r="J24" s="19" t="n"/>
      <c r="K24" s="13" t="n"/>
      <c r="L24" s="13" t="inlineStr">
        <is>
          <t>Sec 7.2</t>
        </is>
      </c>
      <c r="M24" s="13" t="inlineStr">
        <is>
          <t>AuditService + @Audit interceptor (fail-closed on success), request/correlation IDs, DB triggers block UPDATE/DELETE/TRUNCATE (verified on real Postgres). GAP: not every future mutation is covered until each is decorated.</t>
        </is>
      </c>
      <c r="N24" s="15">
        <f>IF(AND(J24&lt;&gt;"",H24&lt;&gt;"Done",H24&lt;&gt;"Cancelled",J24&lt;TODAY()),"Yes","")</f>
        <v/>
      </c>
    </row>
    <row r="25">
      <c r="A25" s="13" t="inlineStr">
        <is>
          <t>T-024</t>
        </is>
      </c>
      <c r="B25" s="13" t="inlineStr">
        <is>
          <t>Phase 1 - Foundation &amp; Trusted Corpus</t>
        </is>
      </c>
      <c r="C25" s="13" t="inlineStr">
        <is>
          <t>Audit &amp; Observability</t>
        </is>
      </c>
      <c r="D25" s="13" t="inlineStr">
        <is>
          <t>Structured logs, metrics, tracing</t>
        </is>
      </c>
      <c r="E25" s="13" t="inlineStr">
        <is>
          <t>Dashboards and alerts live in staging</t>
        </is>
      </c>
      <c r="F25" s="13" t="inlineStr">
        <is>
          <t>P1</t>
        </is>
      </c>
      <c r="G25" s="13" t="n"/>
      <c r="H25" s="13" t="inlineStr">
        <is>
          <t>In review</t>
        </is>
      </c>
      <c r="I25" s="19" t="n">
        <v>46304</v>
      </c>
      <c r="J25" s="19" t="n"/>
      <c r="K25" s="13" t="n"/>
      <c r="L25" s="13" t="inlineStr">
        <is>
          <t>Sec 7.0</t>
        </is>
      </c>
      <c r="M25" s="13" t="inlineStr">
        <is>
          <t>JSON request logs with request/correlation IDs; Prometheus /metrics (token protected, smoke-tested). GAP: no distributed tracing and no dashboards/alerts - needs an observability stack decision; not done.</t>
        </is>
      </c>
      <c r="N25" s="15">
        <f>IF(AND(J25&lt;&gt;"",H25&lt;&gt;"Done",H25&lt;&gt;"Cancelled",J25&lt;TODAY()),"Yes","")</f>
        <v/>
      </c>
    </row>
    <row r="26">
      <c r="A26" s="13" t="inlineStr">
        <is>
          <t>T-025</t>
        </is>
      </c>
      <c r="B26" s="13" t="inlineStr">
        <is>
          <t>Phase 1 - Foundation &amp; Trusted Corpus</t>
        </is>
      </c>
      <c r="C26" s="13" t="inlineStr">
        <is>
          <t>Content &amp; Ingestion</t>
        </is>
      </c>
      <c r="D26" s="13" t="inlineStr">
        <is>
          <t>Server-side Alfresco adapter</t>
        </is>
      </c>
      <c r="E26" s="13" t="inlineStr">
        <is>
          <t>Browser never calls Alfresco directly</t>
        </is>
      </c>
      <c r="F26" s="13" t="inlineStr">
        <is>
          <t>P0</t>
        </is>
      </c>
      <c r="G26" s="13" t="n"/>
      <c r="H26" s="13" t="inlineStr">
        <is>
          <t>In review</t>
        </is>
      </c>
      <c r="I26" s="19" t="n">
        <v>46304</v>
      </c>
      <c r="J26" s="19" t="n"/>
      <c r="K26" s="13" t="n"/>
      <c r="L26" s="13" t="inlineStr">
        <is>
          <t>Sec 7.0</t>
        </is>
      </c>
      <c r="M26" s="13" t="inlineStr">
        <is>
          <t>Adapter tested over real HTTP against a local Alfresco-API stand-in: upload, download, list, sync, ticket expiry re-auth, missing node (502), unconfigured (503); browser holds no credentials. GAP: never run against a real Alfresco server.</t>
        </is>
      </c>
      <c r="N26" s="15">
        <f>IF(AND(J26&lt;&gt;"",H26&lt;&gt;"Done",H26&lt;&gt;"Cancelled",J26&lt;TODAY()),"Yes","")</f>
        <v/>
      </c>
    </row>
    <row r="27">
      <c r="A27" s="13" t="inlineStr">
        <is>
          <t>T-026</t>
        </is>
      </c>
      <c r="B27" s="13" t="inlineStr">
        <is>
          <t>Phase 1 - Foundation &amp; Trusted Corpus</t>
        </is>
      </c>
      <c r="C27" s="13" t="inlineStr">
        <is>
          <t>Content &amp; Ingestion</t>
        </is>
      </c>
      <c r="D27" s="13" t="inlineStr">
        <is>
          <t>Document lifecycle (draft, processing, review, approved, published, superseded, rejected)</t>
        </is>
      </c>
      <c r="E27" s="13" t="inlineStr">
        <is>
          <t>State machine enforced and tested</t>
        </is>
      </c>
      <c r="F27" s="13" t="inlineStr">
        <is>
          <t>P0</t>
        </is>
      </c>
      <c r="G27" s="13" t="n"/>
      <c r="H27" s="13" t="inlineStr">
        <is>
          <t>In review</t>
        </is>
      </c>
      <c r="I27" s="19" t="n">
        <v>46304</v>
      </c>
      <c r="J27" s="19" t="n"/>
      <c r="K27" s="13" t="n"/>
      <c r="L27" s="13" t="inlineStr">
        <is>
          <t>Obj 2</t>
        </is>
      </c>
      <c r="M27" s="13" t="inlineStr">
        <is>
          <t>State machine enforced in service; illegal transitions return 409; unit + integration tests.</t>
        </is>
      </c>
      <c r="N27" s="15">
        <f>IF(AND(J27&lt;&gt;"",H27&lt;&gt;"Done",H27&lt;&gt;"Cancelled",J27&lt;TODAY()),"Yes","")</f>
        <v/>
      </c>
    </row>
    <row r="28">
      <c r="A28" s="13" t="inlineStr">
        <is>
          <t>T-027</t>
        </is>
      </c>
      <c r="B28" s="13" t="inlineStr">
        <is>
          <t>Phase 1 - Foundation &amp; Trusted Corpus</t>
        </is>
      </c>
      <c r="C28" s="13" t="inlineStr">
        <is>
          <t>Content &amp; Ingestion</t>
        </is>
      </c>
      <c r="D28" s="13" t="inlineStr">
        <is>
          <t>Text extraction/OCR, checksum, duplicate detection, quality checks</t>
        </is>
      </c>
      <c r="E28" s="13" t="inlineStr">
        <is>
          <t>Duplicate upload does not create duplicates</t>
        </is>
      </c>
      <c r="F28" s="13" t="inlineStr">
        <is>
          <t>P0</t>
        </is>
      </c>
      <c r="G28" s="13" t="n"/>
      <c r="H28" s="13" t="inlineStr">
        <is>
          <t>In review</t>
        </is>
      </c>
      <c r="I28" s="19" t="n">
        <v>46304</v>
      </c>
      <c r="J28" s="19" t="n"/>
      <c r="K28" s="13" t="n"/>
      <c r="L28" s="13" t="inlineStr">
        <is>
          <t>Journey E</t>
        </is>
      </c>
      <c r="M28" s="13" t="inlineStr">
        <is>
          <t>SHA-256 checksum, duplicate rejection (409, incl. race via unique constraint), text/PDF extraction (verified on a real PDF), quality report. GAP: no OCR; scanned PDFs are flagged only.</t>
        </is>
      </c>
      <c r="N28" s="15">
        <f>IF(AND(J28&lt;&gt;"",H28&lt;&gt;"Done",H28&lt;&gt;"Cancelled",J28&lt;TODAY()),"Yes","")</f>
        <v/>
      </c>
    </row>
    <row r="29">
      <c r="A29" s="13" t="inlineStr">
        <is>
          <t>T-028</t>
        </is>
      </c>
      <c r="B29" s="13" t="inlineStr">
        <is>
          <t>Phase 1 - Foundation &amp; Trusted Corpus</t>
        </is>
      </c>
      <c r="C29" s="13" t="inlineStr">
        <is>
          <t>Content &amp; Ingestion</t>
        </is>
      </c>
      <c r="D29" s="13" t="inlineStr">
        <is>
          <t>Metadata validation and review screen</t>
        </is>
      </c>
      <c r="E29" s="13" t="inlineStr">
        <is>
          <t>Stable ID, version, provenance, metadata complete</t>
        </is>
      </c>
      <c r="F29" s="13" t="inlineStr">
        <is>
          <t>P0</t>
        </is>
      </c>
      <c r="G29" s="13" t="n"/>
      <c r="H29" s="13" t="inlineStr">
        <is>
          <t>In review</t>
        </is>
      </c>
      <c r="I29" s="19" t="n">
        <v>46304</v>
      </c>
      <c r="J29" s="19" t="n"/>
      <c r="K29" s="13" t="n"/>
      <c r="L29" s="13" t="inlineStr">
        <is>
          <t>Journey E</t>
        </is>
      </c>
      <c r="M29" s="13" t="inlineStr">
        <is>
          <t>Metadata validation endpoint + approval blocked on incomplete metadata (integration tested). Admin UI shows issues in the detail row.</t>
        </is>
      </c>
      <c r="N29" s="15">
        <f>IF(AND(J29&lt;&gt;"",H29&lt;&gt;"Done",H29&lt;&gt;"Cancelled",J29&lt;TODAY()),"Yes","")</f>
        <v/>
      </c>
    </row>
    <row r="30">
      <c r="A30" s="13" t="inlineStr">
        <is>
          <t>T-029</t>
        </is>
      </c>
      <c r="B30" s="13" t="inlineStr">
        <is>
          <t>Phase 1 - Foundation &amp; Trusted Corpus</t>
        </is>
      </c>
      <c r="C30" s="13" t="inlineStr">
        <is>
          <t>Content &amp; Ingestion</t>
        </is>
      </c>
      <c r="D30" s="13" t="inlineStr">
        <is>
          <t>Chunking by parliamentary boundaries, embedding and vector index</t>
        </is>
      </c>
      <c r="E30" s="13" t="inlineStr">
        <is>
          <t>Re-indexing idempotent and observable</t>
        </is>
      </c>
      <c r="F30" s="13" t="inlineStr">
        <is>
          <t>P0</t>
        </is>
      </c>
      <c r="G30" s="13" t="n"/>
      <c r="H30" s="13" t="inlineStr">
        <is>
          <t>In review</t>
        </is>
      </c>
      <c r="I30" s="19" t="n">
        <v>46304</v>
      </c>
      <c r="J30" s="19" t="n"/>
      <c r="K30" s="13" t="n"/>
      <c r="L30" s="13" t="inlineStr">
        <is>
          <t>Sec 7.2</t>
        </is>
      </c>
      <c r="M30" s="13" t="inlineStr">
        <is>
          <t>Paragraph-aware chunking with anchors, embeddings, hybrid search over published only. GAP: uses a placeholder hashing embedder, NOT a semantic model; real embedding model/vector store needs the Phase 0 ADR.</t>
        </is>
      </c>
      <c r="N30" s="15">
        <f>IF(AND(J30&lt;&gt;"",H30&lt;&gt;"Done",H30&lt;&gt;"Cancelled",J30&lt;TODAY()),"Yes","")</f>
        <v/>
      </c>
    </row>
    <row r="31">
      <c r="A31" s="13" t="inlineStr">
        <is>
          <t>T-030</t>
        </is>
      </c>
      <c r="B31" s="13" t="inlineStr">
        <is>
          <t>Phase 1 - Foundation &amp; Trusted Corpus</t>
        </is>
      </c>
      <c r="C31" s="13" t="inlineStr">
        <is>
          <t>Content &amp; Ingestion</t>
        </is>
      </c>
      <c r="D31" s="13" t="inlineStr">
        <is>
          <t>Queue, retries and dead-letter handling</t>
        </is>
      </c>
      <c r="E31" s="13" t="inlineStr">
        <is>
          <t>Failed job visible and retryable</t>
        </is>
      </c>
      <c r="F31" s="13" t="inlineStr">
        <is>
          <t>P1</t>
        </is>
      </c>
      <c r="G31" s="13" t="n"/>
      <c r="H31" s="13" t="inlineStr">
        <is>
          <t>In review</t>
        </is>
      </c>
      <c r="I31" s="19" t="n">
        <v>46304</v>
      </c>
      <c r="J31" s="19" t="n"/>
      <c r="K31" s="13" t="n"/>
      <c r="L31" s="13" t="inlineStr">
        <is>
          <t>Sec 7.2</t>
        </is>
      </c>
      <c r="M31" s="13" t="inlineStr">
        <is>
          <t>DB-backed queue: SKIP LOCKED claim, exponential backoff, dead-letter, idempotent enqueue, admin retry endpoint (integration tested).</t>
        </is>
      </c>
      <c r="N31" s="15">
        <f>IF(AND(J31&lt;&gt;"",H31&lt;&gt;"Done",H31&lt;&gt;"Cancelled",J31&lt;TODAY()),"Yes","")</f>
        <v/>
      </c>
    </row>
    <row r="32">
      <c r="A32" s="13" t="inlineStr">
        <is>
          <t>T-031</t>
        </is>
      </c>
      <c r="B32" s="13" t="inlineStr">
        <is>
          <t>Phase 1 - Foundation &amp; Trusted Corpus</t>
        </is>
      </c>
      <c r="C32" s="13" t="inlineStr">
        <is>
          <t>Content &amp; Ingestion</t>
        </is>
      </c>
      <c r="D32" s="13" t="inlineStr">
        <is>
          <t>Publication approval gate and rollback</t>
        </is>
      </c>
      <c r="E32" s="13" t="inlineStr">
        <is>
          <t>Draft/rejected docs unreachable from public search</t>
        </is>
      </c>
      <c r="F32" s="13" t="inlineStr">
        <is>
          <t>P0</t>
        </is>
      </c>
      <c r="G32" s="13" t="n"/>
      <c r="H32" s="13" t="inlineStr">
        <is>
          <t>In review</t>
        </is>
      </c>
      <c r="I32" s="19" t="n">
        <v>46304</v>
      </c>
      <c r="J32" s="19" t="n"/>
      <c r="K32" s="13" t="n"/>
      <c r="L32" s="13" t="inlineStr">
        <is>
          <t>Journey E</t>
        </is>
      </c>
      <c r="M32" s="13" t="inlineStr">
        <is>
          <t>Approval record required; uploader cannot approve own document; publish is an atomic index job; unpublish rolls back without deleting; draft/rejected unreachable from public search (integration tested).</t>
        </is>
      </c>
      <c r="N32" s="15">
        <f>IF(AND(J32&lt;&gt;"",H32&lt;&gt;"Done",H32&lt;&gt;"Cancelled",J32&lt;TODAY()),"Yes","")</f>
        <v/>
      </c>
    </row>
    <row r="33">
      <c r="A33" s="13" t="inlineStr">
        <is>
          <t>T-032</t>
        </is>
      </c>
      <c r="B33" s="13" t="inlineStr">
        <is>
          <t>Phase 1 - Foundation &amp; Trusted Corpus</t>
        </is>
      </c>
      <c r="C33" s="13" t="inlineStr">
        <is>
          <t>Admin Console</t>
        </is>
      </c>
      <c r="D33" s="13" t="inlineStr">
        <is>
          <t>Connect admin Documents page to real backend state</t>
        </is>
      </c>
      <c r="E33" s="13" t="inlineStr">
        <is>
          <t>No in-memory data for documents</t>
        </is>
      </c>
      <c r="F33" s="13" t="inlineStr">
        <is>
          <t>P0</t>
        </is>
      </c>
      <c r="G33" s="13" t="n"/>
      <c r="H33" s="13" t="inlineStr">
        <is>
          <t>In review</t>
        </is>
      </c>
      <c r="I33" s="19" t="n">
        <v>46304</v>
      </c>
      <c r="J33" s="19" t="n"/>
      <c r="K33" s="13" t="n"/>
      <c r="L33" s="13" t="inlineStr">
        <is>
          <t>Obj 5</t>
        </is>
      </c>
      <c r="M33" s="13" t="inlineStr">
        <is>
          <t>Admin console is React: Documents screen (api.ts, DocumentsScreen.tsx) with 8 passing vitest/jsdom tests (list, bearer token, per-state actions, approve, backend error display, 401 sign-in prompt, file validation, multipart upload); OIDC sign-in added; dead Angular code removed; vite build passes. GAP: not exercised in a real browser against the live backend; other admin screens still sample data.</t>
        </is>
      </c>
      <c r="N33" s="15">
        <f>IF(AND(J33&lt;&gt;"",H33&lt;&gt;"Done",H33&lt;&gt;"Cancelled",J33&lt;TODAY()),"Yes","")</f>
        <v/>
      </c>
    </row>
    <row r="34">
      <c r="A34" s="13" t="inlineStr">
        <is>
          <t>T-033</t>
        </is>
      </c>
      <c r="B34" s="13" t="inlineStr">
        <is>
          <t>Phase 1 - Foundation &amp; Trusted Corpus</t>
        </is>
      </c>
      <c r="C34" s="13" t="inlineStr">
        <is>
          <t>Quality</t>
        </is>
      </c>
      <c r="D34" s="13" t="inlineStr">
        <is>
          <t>Vertical slice 1 end-to-end test: Alfresco doc to cited answer to feedback/audit</t>
        </is>
      </c>
      <c r="E34" s="13" t="inlineStr">
        <is>
          <t>Automated test passes in staging</t>
        </is>
      </c>
      <c r="F34" s="13" t="inlineStr">
        <is>
          <t>P0</t>
        </is>
      </c>
      <c r="G34" s="13" t="n"/>
      <c r="H34" s="13" t="inlineStr">
        <is>
          <t>In review</t>
        </is>
      </c>
      <c r="I34" s="19" t="n">
        <v>46304</v>
      </c>
      <c r="J34" s="19" t="n"/>
      <c r="K34" s="13" t="n"/>
      <c r="L34" s="13" t="inlineStr">
        <is>
          <t>Sec 7.0</t>
        </is>
      </c>
      <c r="M34" s="13" t="inlineStr">
        <is>
          <t>test/integration/slice1.int-spec.ts: upload -&gt; process -&gt; approve -&gt; publish -&gt; cited public search -&gt; unpublish -&gt; audit, against real Postgres. GAP: answer generation (LLM) and feedback endpoint are Phase 2, so this proves retrieval with citations, not a generated answer; Alfresco is faked.</t>
        </is>
      </c>
      <c r="N34" s="15">
        <f>IF(AND(J34&lt;&gt;"",H34&lt;&gt;"Done",H34&lt;&gt;"Cancelled",J34&lt;TODAY()),"Yes","")</f>
        <v/>
      </c>
    </row>
    <row r="35">
      <c r="A35" s="13" t="inlineStr">
        <is>
          <t>T-034</t>
        </is>
      </c>
      <c r="B35" s="13" t="inlineStr">
        <is>
          <t>Phase 2 - Public Knowledge Access</t>
        </is>
      </c>
      <c r="C35" s="13" t="inlineStr">
        <is>
          <t>Search &amp; Answers</t>
        </is>
      </c>
      <c r="D35" s="13" t="inlineStr">
        <is>
          <t>Hybrid keyword + vector retrieval with metadata filters</t>
        </is>
      </c>
      <c r="E35" s="13" t="inlineStr">
        <is>
          <t>Retrieval recall meets agreed threshold</t>
        </is>
      </c>
      <c r="F35" s="13" t="inlineStr">
        <is>
          <t>P0</t>
        </is>
      </c>
      <c r="G35" s="13" t="n"/>
      <c r="H35" s="13" t="inlineStr">
        <is>
          <t>In review</t>
        </is>
      </c>
      <c r="I35" s="19" t="n">
        <v>46307</v>
      </c>
      <c r="J35" s="19" t="n"/>
      <c r="K35" s="13" t="n"/>
      <c r="L35" s="13" t="inlineStr">
        <is>
          <t>Sec 7.2</t>
        </is>
      </c>
      <c r="M35" s="13" t="inlineStr">
        <is>
          <t>Hybrid (vector + keyword) retrieval over published docs only, with date/language filters; in-memory chunk cache re-checks the published set on every request so withdrawals take effect immediately; single-flight load. GAP: placeholder hashing embedder, not semantic; recall against a real evaluation set not measured; pilot-scale only.</t>
        </is>
      </c>
      <c r="N35" s="15">
        <f>IF(AND(J35&lt;&gt;"",H35&lt;&gt;"Done",H35&lt;&gt;"Cancelled",J35&lt;TODAY()),"Yes","")</f>
        <v/>
      </c>
    </row>
    <row r="36">
      <c r="A36" s="13" t="inlineStr">
        <is>
          <t>T-035</t>
        </is>
      </c>
      <c r="B36" s="13" t="inlineStr">
        <is>
          <t>Phase 2 - Public Knowledge Access</t>
        </is>
      </c>
      <c r="C36" s="13" t="inlineStr">
        <is>
          <t>Search &amp; Answers</t>
        </is>
      </c>
      <c r="D36" s="13" t="inlineStr">
        <is>
          <t>Answer orchestration with citations, uncertainty and refusal</t>
        </is>
      </c>
      <c r="E36" s="13" t="inlineStr">
        <is>
          <t>Matches answer contract incl. all non-grounded statuses</t>
        </is>
      </c>
      <c r="F36" s="13" t="inlineStr">
        <is>
          <t>P0</t>
        </is>
      </c>
      <c r="G36" s="13" t="n"/>
      <c r="H36" s="13" t="inlineStr">
        <is>
          <t>In review</t>
        </is>
      </c>
      <c r="I36" s="19" t="n">
        <v>46307</v>
      </c>
      <c r="J36" s="19" t="n"/>
      <c r="K36" s="13" t="n"/>
      <c r="L36" s="13" t="inlineStr">
        <is>
          <t>Sec 7.4</t>
        </is>
      </c>
      <c r="M36" s="13" t="inlineStr">
        <is>
          <t>POST /public/answers: citations, confidence, disclosure, all 6 non-grounded statuses (503 for service_unavailable). Default extractive generator quotes passages (cannot invent); optional model generator validates citations and falls back. GAP: model path tested only against a local stand-in, never a real provider; conflicting-sources detection depends on a model.</t>
        </is>
      </c>
      <c r="N36" s="15">
        <f>IF(AND(J36&lt;&gt;"",H36&lt;&gt;"Done",H36&lt;&gt;"Cancelled",J36&lt;TODAY()),"Yes","")</f>
        <v/>
      </c>
    </row>
    <row r="37">
      <c r="A37" s="13" t="inlineStr">
        <is>
          <t>T-036</t>
        </is>
      </c>
      <c r="B37" s="13" t="inlineStr">
        <is>
          <t>Phase 2 - Public Knowledge Access</t>
        </is>
      </c>
      <c r="C37" s="13" t="inlineStr">
        <is>
          <t>Search &amp; Answers</t>
        </is>
      </c>
      <c r="D37" s="13" t="inlineStr">
        <is>
          <t>Prompt-injection and PII protections for retrieved content and prompts</t>
        </is>
      </c>
      <c r="E37" s="13" t="inlineStr">
        <is>
          <t>Red-team tests pass</t>
        </is>
      </c>
      <c r="F37" s="13" t="inlineStr">
        <is>
          <t>P0</t>
        </is>
      </c>
      <c r="G37" s="13" t="n"/>
      <c r="H37" s="13" t="inlineStr">
        <is>
          <t>In review</t>
        </is>
      </c>
      <c r="I37" s="19" t="n">
        <v>46307</v>
      </c>
      <c r="J37" s="19" t="n"/>
      <c r="K37" s="13" t="n"/>
      <c r="L37" s="13" t="inlineStr">
        <is>
          <t>Sec 8</t>
        </is>
      </c>
      <c r="M37" s="13" t="inlineStr">
        <is>
          <t>PII (email, phone, Ghana Card) removed before storage/prompts; injection refusal on questions; injection-like published passages quarantined; fenced untrusted prompt. GAP: regex-based, not a red-team; no formal adversarial test suite.</t>
        </is>
      </c>
      <c r="N37" s="15">
        <f>IF(AND(J37&lt;&gt;"",H37&lt;&gt;"Done",H37&lt;&gt;"Cancelled",J37&lt;TODAY()),"Yes","")</f>
        <v/>
      </c>
    </row>
    <row r="38">
      <c r="A38" s="13" t="inlineStr">
        <is>
          <t>T-037</t>
        </is>
      </c>
      <c r="B38" s="13" t="inlineStr">
        <is>
          <t>Phase 2 - Public Knowledge Access</t>
        </is>
      </c>
      <c r="C38" s="13" t="inlineStr">
        <is>
          <t>Search &amp; Answers</t>
        </is>
      </c>
      <c r="D38" s="13" t="inlineStr">
        <is>
          <t>Capture model/prompt/retriever version on every answer</t>
        </is>
      </c>
      <c r="E38" s="13" t="inlineStr">
        <is>
          <t>Version fields populated on 100% of answers</t>
        </is>
      </c>
      <c r="F38" s="13" t="inlineStr">
        <is>
          <t>P0</t>
        </is>
      </c>
      <c r="G38" s="13" t="n"/>
      <c r="H38" s="13" t="inlineStr">
        <is>
          <t>In review</t>
        </is>
      </c>
      <c r="I38" s="19" t="n">
        <v>46307</v>
      </c>
      <c r="J38" s="19" t="n"/>
      <c r="K38" s="13" t="n"/>
      <c r="L38" s="13" t="inlineStr">
        <is>
          <t>Sec 7.2</t>
        </is>
      </c>
      <c r="M38" s="13" t="inlineStr">
        <is>
          <t>Every answer stores model, prompt and retriever versions on QuestionSession and returns them. Integration tested.</t>
        </is>
      </c>
      <c r="N38" s="15">
        <f>IF(AND(J38&lt;&gt;"",H38&lt;&gt;"Done",H38&lt;&gt;"Cancelled",J38&lt;TODAY()),"Yes","")</f>
        <v/>
      </c>
    </row>
    <row r="39">
      <c r="A39" s="13" t="inlineStr">
        <is>
          <t>T-038</t>
        </is>
      </c>
      <c r="B39" s="13" t="inlineStr">
        <is>
          <t>Phase 2 - Public Knowledge Access</t>
        </is>
      </c>
      <c r="C39" s="13" t="inlineStr">
        <is>
          <t>Search &amp; Answers</t>
        </is>
      </c>
      <c r="D39" s="13" t="inlineStr">
        <is>
          <t>Feedback and correction-report endpoints</t>
        </is>
      </c>
      <c r="E39" s="13" t="inlineStr">
        <is>
          <t>Feedback persisted and linked to answer</t>
        </is>
      </c>
      <c r="F39" s="13" t="inlineStr">
        <is>
          <t>P0</t>
        </is>
      </c>
      <c r="G39" s="13" t="n"/>
      <c r="H39" s="13" t="inlineStr">
        <is>
          <t>In review</t>
        </is>
      </c>
      <c r="I39" s="19" t="n">
        <v>46307</v>
      </c>
      <c r="J39" s="19" t="n"/>
      <c r="K39" s="13" t="n"/>
      <c r="L39" s="13" t="inlineStr">
        <is>
          <t>Journey A</t>
        </is>
      </c>
      <c r="M39" s="13" t="inlineStr">
        <is>
          <t>POST /public/answers/:id/feedback (helpful + report types, redacted comments, atomic append, audit). Tested incl. concurrency.</t>
        </is>
      </c>
      <c r="N39" s="15">
        <f>IF(AND(J39&lt;&gt;"",H39&lt;&gt;"Done",H39&lt;&gt;"Cancelled",J39&lt;TODAY()),"Yes","")</f>
        <v/>
      </c>
    </row>
    <row r="40">
      <c r="A40" s="13" t="inlineStr">
        <is>
          <t>T-039</t>
        </is>
      </c>
      <c r="B40" s="13" t="inlineStr">
        <is>
          <t>Phase 2 - Public Knowledge Access</t>
        </is>
      </c>
      <c r="C40" s="13" t="inlineStr">
        <is>
          <t>Public App</t>
        </is>
      </c>
      <c r="D40" s="13" t="inlineStr">
        <is>
          <t>Add routing and real IA (Ask, Hansards, Bills, Find MP, Issues, About)</t>
        </is>
      </c>
      <c r="E40" s="13" t="inlineStr">
        <is>
          <t>No placeholder links remain</t>
        </is>
      </c>
      <c r="F40" s="13" t="inlineStr">
        <is>
          <t>P0</t>
        </is>
      </c>
      <c r="G40" s="13" t="n"/>
      <c r="H40" s="13" t="inlineStr">
        <is>
          <t>In review</t>
        </is>
      </c>
      <c r="I40" s="19" t="n">
        <v>46307</v>
      </c>
      <c r="J40" s="19" t="n"/>
      <c r="K40" s="13" t="n"/>
      <c r="L40" s="13" t="inlineStr">
        <is>
          <t>Sec 5.1 / 14.5</t>
        </is>
      </c>
      <c r="M40" s="13" t="inlineStr">
        <is>
          <t>Public app (React) now has routing: Ask, Hansards, record page, About, and honest Not-available pages for My MP and Issues. 35 UI tests.</t>
        </is>
      </c>
      <c r="N40" s="15">
        <f>IF(AND(J40&lt;&gt;"",H40&lt;&gt;"Done",H40&lt;&gt;"Cancelled",J40&lt;TODAY()),"Yes","")</f>
        <v/>
      </c>
    </row>
    <row r="41">
      <c r="A41" s="13" t="inlineStr">
        <is>
          <t>T-040</t>
        </is>
      </c>
      <c r="B41" s="13" t="inlineStr">
        <is>
          <t>Phase 2 - Public Knowledge Access</t>
        </is>
      </c>
      <c r="C41" s="13" t="inlineStr">
        <is>
          <t>Public App</t>
        </is>
      </c>
      <c r="D41" s="13" t="inlineStr">
        <is>
          <t>API client with loading, empty, error, no-evidence, conflict and refusal states</t>
        </is>
      </c>
      <c r="E41" s="13" t="inlineStr">
        <is>
          <t>All states designed and tested</t>
        </is>
      </c>
      <c r="F41" s="13" t="inlineStr">
        <is>
          <t>P0</t>
        </is>
      </c>
      <c r="G41" s="13" t="n"/>
      <c r="H41" s="13" t="inlineStr">
        <is>
          <t>In review</t>
        </is>
      </c>
      <c r="I41" s="19" t="n">
        <v>46307</v>
      </c>
      <c r="J41" s="19" t="n"/>
      <c r="K41" s="13" t="n"/>
      <c r="L41" s="13" t="inlineStr">
        <is>
          <t>Obj 3</t>
        </is>
      </c>
      <c r="M41" s="13" t="inlineStr">
        <is>
          <t>Loading, empty, error (offline/rate-limited/server), no-evidence, clarification, refusal, unsupported-language, conflict and 503 states built and tested.</t>
        </is>
      </c>
      <c r="N41" s="15">
        <f>IF(AND(J41&lt;&gt;"",H41&lt;&gt;"Done",H41&lt;&gt;"Cancelled",J41&lt;TODAY()),"Yes","")</f>
        <v/>
      </c>
    </row>
    <row r="42">
      <c r="A42" s="13" t="inlineStr">
        <is>
          <t>T-041</t>
        </is>
      </c>
      <c r="B42" s="13" t="inlineStr">
        <is>
          <t>Phase 2 - Public Knowledge Access</t>
        </is>
      </c>
      <c r="C42" s="13" t="inlineStr">
        <is>
          <t>Public App</t>
        </is>
      </c>
      <c r="D42" s="13" t="inlineStr">
        <is>
          <t>Replace hard-coded answer/sources with real Answer API</t>
        </is>
      </c>
      <c r="E42" s="13" t="inlineStr">
        <is>
          <t>No mock data in production build</t>
        </is>
      </c>
      <c r="F42" s="13" t="inlineStr">
        <is>
          <t>P0</t>
        </is>
      </c>
      <c r="G42" s="13" t="n"/>
      <c r="H42" s="13" t="inlineStr">
        <is>
          <t>In review</t>
        </is>
      </c>
      <c r="I42" s="19" t="n">
        <v>46307</v>
      </c>
      <c r="J42" s="19" t="n"/>
      <c r="K42" s="13" t="n"/>
      <c r="L42" s="13" t="inlineStr">
        <is>
          <t>Obj 3</t>
        </is>
      </c>
      <c r="M42" s="13" t="inlineStr">
        <is>
          <t>Hard-coded answer and sources removed; Ask page calls the real Answer API.</t>
        </is>
      </c>
      <c r="N42" s="15">
        <f>IF(AND(J42&lt;&gt;"",H42&lt;&gt;"Done",H42&lt;&gt;"Cancelled",J42&lt;TODAY()),"Yes","")</f>
        <v/>
      </c>
    </row>
    <row r="43">
      <c r="A43" s="13" t="inlineStr">
        <is>
          <t>T-042</t>
        </is>
      </c>
      <c r="B43" s="13" t="inlineStr">
        <is>
          <t>Phase 2 - Public Knowledge Access</t>
        </is>
      </c>
      <c r="C43" s="13" t="inlineStr">
        <is>
          <t>Public App</t>
        </is>
      </c>
      <c r="D43" s="13" t="inlineStr">
        <is>
          <t>Hansard search, results list and record detail with separated AI summary</t>
        </is>
      </c>
      <c r="E43" s="13" t="inlineStr">
        <is>
          <t>Official text first; stable shareable links</t>
        </is>
      </c>
      <c r="F43" s="13" t="inlineStr">
        <is>
          <t>P0</t>
        </is>
      </c>
      <c r="G43" s="13" t="n"/>
      <c r="H43" s="13" t="inlineStr">
        <is>
          <t>In review</t>
        </is>
      </c>
      <c r="I43" s="19" t="n">
        <v>46307</v>
      </c>
      <c r="J43" s="19" t="n"/>
      <c r="K43" s="13" t="n"/>
      <c r="L43" s="13" t="inlineStr">
        <is>
          <t>Journey B</t>
        </is>
      </c>
      <c r="M43" s="13" t="inlineStr">
        <is>
          <t>Public Hansard list (filter, deterministic order, pagination, URL-shareable) and record page with official text first and copy-link. GAP: no AI summary yet (nothing to show honestly); no speaker/related-bill expansion.</t>
        </is>
      </c>
      <c r="N43" s="15">
        <f>IF(AND(J43&lt;&gt;"",H43&lt;&gt;"Done",H43&lt;&gt;"Cancelled",J43&lt;TODAY()),"Yes","")</f>
        <v/>
      </c>
    </row>
    <row r="44">
      <c r="A44" s="13" t="inlineStr">
        <is>
          <t>T-043</t>
        </is>
      </c>
      <c r="B44" s="13" t="inlineStr">
        <is>
          <t>Phase 2 - Public Knowledge Access</t>
        </is>
      </c>
      <c r="C44" s="13" t="inlineStr">
        <is>
          <t>Public App</t>
        </is>
      </c>
      <c r="D44" s="13" t="inlineStr">
        <is>
          <t>Source inspection on mobile and desktop</t>
        </is>
      </c>
      <c r="E44" s="13" t="inlineStr">
        <is>
          <t>Original source reachable within two actions</t>
        </is>
      </c>
      <c r="F44" s="13" t="inlineStr">
        <is>
          <t>P0</t>
        </is>
      </c>
      <c r="G44" s="13" t="n"/>
      <c r="H44" s="13" t="inlineStr">
        <is>
          <t>In review</t>
        </is>
      </c>
      <c r="I44" s="19" t="n">
        <v>46307</v>
      </c>
      <c r="J44" s="19" t="n"/>
      <c r="K44" s="13" t="n"/>
      <c r="L44" s="13" t="inlineStr">
        <is>
          <t>Journey A</t>
        </is>
      </c>
      <c r="M44" s="13" t="inlineStr">
        <is>
          <t>Citations open the exact passage in one click, with a link to the full record. Mobile layout not verified on a real device.</t>
        </is>
      </c>
      <c r="N44" s="15">
        <f>IF(AND(J44&lt;&gt;"",H44&lt;&gt;"Done",H44&lt;&gt;"Cancelled",J44&lt;TODAY()),"Yes","")</f>
        <v/>
      </c>
    </row>
    <row r="45">
      <c r="A45" s="13" t="inlineStr">
        <is>
          <t>T-044</t>
        </is>
      </c>
      <c r="B45" s="13" t="inlineStr">
        <is>
          <t>Phase 2 - Public Knowledge Access</t>
        </is>
      </c>
      <c r="C45" s="13" t="inlineStr">
        <is>
          <t>Public App</t>
        </is>
      </c>
      <c r="D45" s="13" t="inlineStr">
        <is>
          <t>Functional language selection with honest per-language status</t>
        </is>
      </c>
      <c r="E45" s="13" t="inlineStr">
        <is>
          <t>Unsupported languages degrade safely</t>
        </is>
      </c>
      <c r="F45" s="13" t="inlineStr">
        <is>
          <t>P1</t>
        </is>
      </c>
      <c r="G45" s="13" t="n"/>
      <c r="H45" s="13" t="inlineStr">
        <is>
          <t>In review</t>
        </is>
      </c>
      <c r="I45" s="19" t="n">
        <v>46307</v>
      </c>
      <c r="J45" s="19" t="n"/>
      <c r="K45" s="13" t="n"/>
      <c r="L45" s="13" t="inlineStr">
        <is>
          <t>Obj 3</t>
        </is>
      </c>
      <c r="M45" s="13" t="inlineStr">
        <is>
          <t>Language selector driven by /public/languages with honest per-language status; unsupported languages answered honestly. GAP: only English works; no translation or evaluation for other languages.</t>
        </is>
      </c>
      <c r="N45" s="15">
        <f>IF(AND(J45&lt;&gt;"",H45&lt;&gt;"Done",H45&lt;&gt;"Cancelled",J45&lt;TODAY()),"Yes","")</f>
        <v/>
      </c>
    </row>
    <row r="46">
      <c r="A46" s="13" t="inlineStr">
        <is>
          <t>T-045</t>
        </is>
      </c>
      <c r="B46" s="13" t="inlineStr">
        <is>
          <t>Phase 2 - Public Knowledge Access</t>
        </is>
      </c>
      <c r="C46" s="13" t="inlineStr">
        <is>
          <t>Public App</t>
        </is>
      </c>
      <c r="D46" s="13" t="inlineStr">
        <is>
          <t>About/help page: AI limits, privacy, official-source explanation</t>
        </is>
      </c>
      <c r="E46" s="13" t="inlineStr">
        <is>
          <t>Content approved by Parliament</t>
        </is>
      </c>
      <c r="F46" s="13" t="inlineStr">
        <is>
          <t>P1</t>
        </is>
      </c>
      <c r="G46" s="13" t="n"/>
      <c r="H46" s="13" t="inlineStr">
        <is>
          <t>In review</t>
        </is>
      </c>
      <c r="I46" s="19" t="n">
        <v>46307</v>
      </c>
      <c r="J46" s="19" t="n"/>
      <c r="K46" s="13" t="n"/>
      <c r="L46" s="13" t="inlineStr">
        <is>
          <t>Sec 5.1</t>
        </is>
      </c>
      <c r="M46" s="13" t="inlineStr">
        <is>
          <t>About page: AI limits, official sources, privacy, language table, accessibility. GAP: retention period and a support contact are not defined yet and are stated as such; wording needs Parliament approval.</t>
        </is>
      </c>
      <c r="N46" s="15">
        <f>IF(AND(J46&lt;&gt;"",H46&lt;&gt;"Done",H46&lt;&gt;"Cancelled",J46&lt;TODAY()),"Yes","")</f>
        <v/>
      </c>
    </row>
    <row r="47">
      <c r="A47" s="13" t="inlineStr">
        <is>
          <t>T-046</t>
        </is>
      </c>
      <c r="B47" s="13" t="inlineStr">
        <is>
          <t>Phase 2 - Public Knowledge Access</t>
        </is>
      </c>
      <c r="C47" s="13" t="inlineStr">
        <is>
          <t>Quality</t>
        </is>
      </c>
      <c r="D47" s="13" t="inlineStr">
        <is>
          <t>Accessibility audit (keyboard, screen reader, contrast)</t>
        </is>
      </c>
      <c r="E47" s="13" t="inlineStr">
        <is>
          <t>WCAG 2.1 AA checks pass on key journeys</t>
        </is>
      </c>
      <c r="F47" s="13" t="inlineStr">
        <is>
          <t>P0</t>
        </is>
      </c>
      <c r="G47" s="13" t="n"/>
      <c r="H47" s="13" t="inlineStr">
        <is>
          <t>In review</t>
        </is>
      </c>
      <c r="I47" s="19" t="n">
        <v>46307</v>
      </c>
      <c r="J47" s="19" t="n"/>
      <c r="K47" s="13" t="n"/>
      <c r="L47" s="13" t="inlineStr">
        <is>
          <t>DoD 8</t>
        </is>
      </c>
      <c r="M47" s="13" t="inlineStr">
        <is>
          <t>Automated axe-core checks (no violations on all main pages and the answer view), landmarks, skip link, focus management, keyboard flow tested. GAP: colour contrast not machine-checked, and no screen-reader or real-device testing: the WCAG 2.1 AA acceptance still needs a manual audit.</t>
        </is>
      </c>
      <c r="N47" s="15">
        <f>IF(AND(J47&lt;&gt;"",H47&lt;&gt;"Done",H47&lt;&gt;"Cancelled",J47&lt;TODAY()),"Yes","")</f>
        <v/>
      </c>
    </row>
    <row r="48">
      <c r="A48" s="13" t="inlineStr">
        <is>
          <t>T-047</t>
        </is>
      </c>
      <c r="B48" s="13" t="inlineStr">
        <is>
          <t>Phase 2 - Public Knowledge Access</t>
        </is>
      </c>
      <c r="C48" s="13" t="inlineStr">
        <is>
          <t>Quality</t>
        </is>
      </c>
      <c r="D48" s="13" t="inlineStr">
        <is>
          <t>Performance acceptance tests</t>
        </is>
      </c>
      <c r="E48" s="13" t="inlineStr">
        <is>
          <t>Latency targets met</t>
        </is>
      </c>
      <c r="F48" s="13" t="inlineStr">
        <is>
          <t>P1</t>
        </is>
      </c>
      <c r="G48" s="13" t="n"/>
      <c r="H48" s="13" t="inlineStr">
        <is>
          <t>In review</t>
        </is>
      </c>
      <c r="I48" s="19" t="n">
        <v>46307</v>
      </c>
      <c r="J48" s="19" t="n"/>
      <c r="K48" s="13" t="n"/>
      <c r="L48" s="13" t="inlineStr">
        <is>
          <t>Obj 3</t>
        </is>
      </c>
      <c r="M48" s="13" t="inlineStr">
        <is>
          <t>k6 load test + harness (npm run loadtest). Found and fixed a real problem (p95 ask 7s -&gt; &lt;1s, cold-cache stampede). Thresholds pass on a 200-doc/1,200-chunk corpus. GAP: k6 on this Windows machine only achieved ~25 iterations/s so true 20-user concurrency was not reached; numbers are indicative only; no agreed latency targets and no realistic corpus size.</t>
        </is>
      </c>
      <c r="N48" s="15">
        <f>IF(AND(J48&lt;&gt;"",H48&lt;&gt;"Done",H48&lt;&gt;"Cancelled",J48&lt;TODAY()),"Yes","")</f>
        <v/>
      </c>
    </row>
    <row r="49">
      <c r="A49" s="13" t="inlineStr">
        <is>
          <t>T-048</t>
        </is>
      </c>
      <c r="B49" s="13" t="inlineStr">
        <is>
          <t>Phase 3 - Constituency Engagement</t>
        </is>
      </c>
      <c r="C49" s="13" t="inlineStr">
        <is>
          <t>People &amp; Representation</t>
        </is>
      </c>
      <c r="D49" s="13" t="inlineStr">
        <is>
          <t>Constituency and MP directory APIs</t>
        </is>
      </c>
      <c r="E49" s="13" t="inlineStr">
        <is>
          <t>Matching tested against approved source</t>
        </is>
      </c>
      <c r="F49" s="13" t="inlineStr">
        <is>
          <t>P0</t>
        </is>
      </c>
      <c r="G49" s="13" t="n"/>
      <c r="H49" s="13" t="inlineStr">
        <is>
          <t>In review</t>
        </is>
      </c>
      <c r="I49" s="19" t="n">
        <v>46307</v>
      </c>
      <c r="J49" s="19" t="n"/>
      <c r="K49" s="13" t="n"/>
      <c r="L49" s="13" t="inlineStr">
        <is>
          <t>Obj 4</t>
        </is>
      </c>
      <c r="M49" s="13" t="inlineStr">
        <is>
          <t>Public: /public/regions, /constituencies, /constituencies/lookup, /constituencies/:id. Lookup matches official name, code and recorded aliases (partial matches labelled as partial), returns matchedOn plus a plain-language explanation and only the current PUBLISHED MP. Internal: MP list/create/update and publish flag (ADMIN). Unit + integration tested. GAP: tested only against test data, not an approved source: the real constituency list (Decision 6) has not been loaded; matching is by name, not geography.</t>
        </is>
      </c>
      <c r="N49" s="15">
        <f>IF(AND(J49&lt;&gt;"",H49&lt;&gt;"Done",H49&lt;&gt;"Cancelled",J49&lt;TODAY()),"Yes","")</f>
        <v/>
      </c>
    </row>
    <row r="50">
      <c r="A50" s="13" t="inlineStr">
        <is>
          <t>T-049</t>
        </is>
      </c>
      <c r="B50" s="13" t="inlineStr">
        <is>
          <t>Phase 3 - Constituency Engagement</t>
        </is>
      </c>
      <c r="C50" s="13" t="inlineStr">
        <is>
          <t>People &amp; Representation</t>
        </is>
      </c>
      <c r="D50" s="13" t="inlineStr">
        <is>
          <t>Constituency boundary-change handling process</t>
        </is>
      </c>
      <c r="E50" s="13" t="inlineStr">
        <is>
          <t>Update procedure documented</t>
        </is>
      </c>
      <c r="F50" s="13" t="inlineStr">
        <is>
          <t>P1</t>
        </is>
      </c>
      <c r="G50" s="13" t="n"/>
      <c r="H50" s="13" t="inlineStr">
        <is>
          <t>In review</t>
        </is>
      </c>
      <c r="I50" s="19" t="n">
        <v>46307</v>
      </c>
      <c r="J50" s="19" t="n"/>
      <c r="K50" s="13" t="n"/>
      <c r="L50" s="13" t="inlineStr">
        <is>
          <t>Sec 13</t>
        </is>
      </c>
      <c r="M50" s="13" t="inlineStr">
        <is>
          <t>Procedure documented in backend docs/BOUNDARY_CHANGES.md. POST /internal/constituencies/import (ADMIN) is a dry-run-able, all-or-nothing, audited import that adds/updates/reactivates/deactivates by code, never deletes, and reports open cases needing reroute; POST /cases/:id/reroute (ADMIN) moves them. Integration tested. GAP: who approves a boundary list and how often is undecided (Decision 6); no geometry lookup; staff re-scoping is manual (no users admin UI yet).</t>
        </is>
      </c>
      <c r="N50" s="15">
        <f>IF(AND(J50&lt;&gt;"",H50&lt;&gt;"Done",H50&lt;&gt;"Cancelled",J50&lt;TODAY()),"Yes","")</f>
        <v/>
      </c>
    </row>
    <row r="51">
      <c r="A51" s="13" t="inlineStr">
        <is>
          <t>T-050</t>
        </is>
      </c>
      <c r="B51" s="13" t="inlineStr">
        <is>
          <t>Phase 3 - Constituency Engagement</t>
        </is>
      </c>
      <c r="C51" s="13" t="inlineStr">
        <is>
          <t>Public App</t>
        </is>
      </c>
      <c r="D51" s="13" t="inlineStr">
        <is>
          <t>Find My MP page with match explanation</t>
        </is>
      </c>
      <c r="E51" s="13" t="inlineStr">
        <is>
          <t>User sees how match was made</t>
        </is>
      </c>
      <c r="F51" s="13" t="inlineStr">
        <is>
          <t>P0</t>
        </is>
      </c>
      <c r="G51" s="13" t="n"/>
      <c r="H51" s="13" t="inlineStr">
        <is>
          <t>In review</t>
        </is>
      </c>
      <c r="I51" s="19" t="n">
        <v>46307</v>
      </c>
      <c r="J51" s="19" t="n"/>
      <c r="K51" s="13" t="n"/>
      <c r="L51" s="13" t="inlineStr">
        <is>
          <t>Journey C</t>
        </is>
      </c>
      <c r="M51" s="13" t="inlineStr">
        <is>
          <t>Find my MP page (/my-mp): name/area search showing each match, how it was made, and the published MP (or an honest 'no published record'); no-match says it will not guess; choose-from-list fallback by region; links through to the issue form with the constituency preselected. 74 UI tests in the public app incl. axe checks. GAP: names only, no location lookup; contact fields shown are whatever Parliament publishes; not verified on a real device or with a screen reader.</t>
        </is>
      </c>
      <c r="N51" s="15">
        <f>IF(AND(J51&lt;&gt;"",H51&lt;&gt;"Done",H51&lt;&gt;"Cancelled",J51&lt;TODAY()),"Yes","")</f>
        <v/>
      </c>
    </row>
    <row r="52">
      <c r="A52" s="13" t="inlineStr">
        <is>
          <t>T-051</t>
        </is>
      </c>
      <c r="B52" s="13" t="inlineStr">
        <is>
          <t>Phase 3 - Constituency Engagement</t>
        </is>
      </c>
      <c r="C52" s="13" t="inlineStr">
        <is>
          <t>Public App</t>
        </is>
      </c>
      <c r="D52" s="13" t="inlineStr">
        <is>
          <t>Issue submission form with consent, category, location, language</t>
        </is>
      </c>
      <c r="E52" s="13" t="inlineStr">
        <is>
          <t>Consent recorded; no silent AI edits to citizen text</t>
        </is>
      </c>
      <c r="F52" s="13" t="inlineStr">
        <is>
          <t>P0</t>
        </is>
      </c>
      <c r="G52" s="13" t="n"/>
      <c r="H52" s="13" t="inlineStr">
        <is>
          <t>In review</t>
        </is>
      </c>
      <c r="I52" s="19" t="n">
        <v>46307</v>
      </c>
      <c r="J52" s="19" t="n"/>
      <c r="K52" s="13" t="n"/>
      <c r="L52" s="13" t="inlineStr">
        <is>
          <t>Journey C</t>
        </is>
      </c>
      <c r="M52" s="13" t="inlineStr">
        <is>
          <t>Issue form (/issues/new): constituency, category, title, free text, optional location, channel (none/email/SMS), consent checkbox with stated purpose; validated client and server side; review step shows the citizen's words verbatim before anything is sent; server stores them unmodified; consent timestamp and purpose stored on the case. Retry-safe via a per-form submission key (no duplicates, tested incl. concurrent submits). GAP: consent wording needs Parliament/legal approval (Decision 10); reply language is recorded but no translation exists; no CAPTCHA/abuse control beyond rate limits.</t>
        </is>
      </c>
      <c r="N52" s="15">
        <f>IF(AND(J52&lt;&gt;"",H52&lt;&gt;"Done",H52&lt;&gt;"Cancelled",J52&lt;TODAY()),"Yes","")</f>
        <v/>
      </c>
    </row>
    <row r="53">
      <c r="A53" s="13" t="inlineStr">
        <is>
          <t>T-052</t>
        </is>
      </c>
      <c r="B53" s="13" t="inlineStr">
        <is>
          <t>Phase 3 - Constituency Engagement</t>
        </is>
      </c>
      <c r="C53" s="13" t="inlineStr">
        <is>
          <t>Public App</t>
        </is>
      </c>
      <c r="D53" s="13" t="inlineStr">
        <is>
          <t>AI category/summary suggestion editable by citizen</t>
        </is>
      </c>
      <c r="E53" s="13" t="inlineStr">
        <is>
          <t>Citizen must confirm before submit</t>
        </is>
      </c>
      <c r="F53" s="13" t="inlineStr">
        <is>
          <t>P1</t>
        </is>
      </c>
      <c r="G53" s="13" t="n"/>
      <c r="H53" s="13" t="inlineStr">
        <is>
          <t>In review</t>
        </is>
      </c>
      <c r="I53" s="19" t="n">
        <v>46307</v>
      </c>
      <c r="J53" s="19" t="n"/>
      <c r="K53" s="13" t="n"/>
      <c r="L53" s="13" t="inlineStr">
        <is>
          <t>Journey C</t>
        </is>
      </c>
      <c r="M53" s="13" t="inlineStr">
        <is>
          <t>POST /public/cases/suggest returns a category + one-line summary; the review step shows it next to the citizen's choice and the citizen must pick; the server also records its own suggestion separately and never edits the citizen's text. GAP: this is a keyword-rules heuristic (labelled as such), NOT a model; English only; confidence is a coarse signal. Replace once a model provider is chosen (Decision 11).</t>
        </is>
      </c>
      <c r="N53" s="15">
        <f>IF(AND(J53&lt;&gt;"",H53&lt;&gt;"Done",H53&lt;&gt;"Cancelled",J53&lt;TODAY()),"Yes","")</f>
        <v/>
      </c>
    </row>
    <row r="54">
      <c r="A54" s="13" t="inlineStr">
        <is>
          <t>T-053</t>
        </is>
      </c>
      <c r="B54" s="13" t="inlineStr">
        <is>
          <t>Phase 3 - Constituency Engagement</t>
        </is>
      </c>
      <c r="C54" s="13" t="inlineStr">
        <is>
          <t>Public App</t>
        </is>
      </c>
      <c r="D54" s="13" t="inlineStr">
        <is>
          <t>Case status tracking page and follow-up replies</t>
        </is>
      </c>
      <c r="E54" s="13" t="inlineStr">
        <is>
          <t>Six statuses visible; internal notes hidden</t>
        </is>
      </c>
      <c r="F54" s="13" t="inlineStr">
        <is>
          <t>P0</t>
        </is>
      </c>
      <c r="G54" s="13" t="n"/>
      <c r="H54" s="13" t="inlineStr">
        <is>
          <t>In review</t>
        </is>
      </c>
      <c r="I54" s="19" t="n">
        <v>46307</v>
      </c>
      <c r="J54" s="19" t="n"/>
      <c r="K54" s="13" t="n"/>
      <c r="L54" s="13" t="inlineStr">
        <is>
          <t>Journey C</t>
        </is>
      </c>
      <c r="M54" s="13" t="inlineStr">
        <is>
          <t>Tracking page (/issues/:reference#code=...): all six statuses with the current one marked (text, not colour only), history, conversation, reply, attachments (list/download/add), download-my-data and request-deletion. Tracking code travels in the URL fragment and an X-Case-Token header; wrong code and unknown reference are both 404; internal notes, assignee, AI and escalation fields are never returned (asserted in API and UI tests). GAP: a lost tracking code cannot be recovered (by design; no accounts); not tested on real devices or with assistive technology; Decision 3 (anonymous vs account) still open.</t>
        </is>
      </c>
      <c r="N54" s="15">
        <f>IF(AND(J54&lt;&gt;"",H54&lt;&gt;"Done",H54&lt;&gt;"Cancelled",J54&lt;TODAY()),"Yes","")</f>
        <v/>
      </c>
    </row>
    <row r="55">
      <c r="A55" s="13" t="inlineStr">
        <is>
          <t>T-054</t>
        </is>
      </c>
      <c r="B55" s="13" t="inlineStr">
        <is>
          <t>Phase 3 - Constituency Engagement</t>
        </is>
      </c>
      <c r="C55" s="13" t="inlineStr">
        <is>
          <t>Engagement Service</t>
        </is>
      </c>
      <c r="D55" s="13" t="inlineStr">
        <is>
          <t>Case intake, status machine, assignment, internal notes, attachments</t>
        </is>
      </c>
      <c r="E55" s="13" t="inlineStr">
        <is>
          <t>Transitions validated and audited</t>
        </is>
      </c>
      <c r="F55" s="13" t="inlineStr">
        <is>
          <t>P0</t>
        </is>
      </c>
      <c r="G55" s="13" t="n"/>
      <c r="H55" s="13" t="inlineStr">
        <is>
          <t>In review</t>
        </is>
      </c>
      <c r="I55" s="19" t="n">
        <v>46307</v>
      </c>
      <c r="J55" s="19" t="n"/>
      <c r="K55" s="13" t="n"/>
      <c r="L55" s="13" t="inlineStr">
        <is>
          <t>Sec 7.2</t>
        </is>
      </c>
      <c r="M55" s="13" t="inlineStr">
        <is>
          <t>Case intake with GH-YYYY-NNNNNN references from a DB sequence, status machine (RECEIVED -&gt; TRIAGED -&gt; IN_PROGRESS/AWAITING_INFORMATION -&gt; RESOLVED -&gt; CLOSED, CLOSED terminal) enforced with compare-and-set, assignment limited to users who can handle that constituency, internal notes, attachments, SLA due dates, per-case event history and audit events. Role + constituency scoping on every route; an out-of-scope case returns 404. 39 integration tests on real PostgreSQL. GAP: SLA hours (120h / 24h urgent) are provisional; no automatic reassignment or reminders; no staff notification when a new case arrives (queue is pull-only).</t>
        </is>
      </c>
      <c r="N55" s="15">
        <f>IF(AND(J55&lt;&gt;"",H55&lt;&gt;"Done",H55&lt;&gt;"Cancelled",J55&lt;TODAY()),"Yes","")</f>
        <v/>
      </c>
    </row>
    <row r="56">
      <c r="A56" s="13" t="inlineStr">
        <is>
          <t>T-055</t>
        </is>
      </c>
      <c r="B56" s="13" t="inlineStr">
        <is>
          <t>Phase 3 - Constituency Engagement</t>
        </is>
      </c>
      <c r="C56" s="13" t="inlineStr">
        <is>
          <t>Engagement Service</t>
        </is>
      </c>
      <c r="D56" s="13" t="inlineStr">
        <is>
          <t>Attachment virus scanning and untrusted-input handling</t>
        </is>
      </c>
      <c r="E56" s="13" t="inlineStr">
        <is>
          <t>Malicious file rejected in test</t>
        </is>
      </c>
      <c r="F56" s="13" t="inlineStr">
        <is>
          <t>P0</t>
        </is>
      </c>
      <c r="G56" s="13" t="n"/>
      <c r="H56" s="13" t="inlineStr">
        <is>
          <t>In review</t>
        </is>
      </c>
      <c r="I56" s="19" t="n">
        <v>46307</v>
      </c>
      <c r="J56" s="19" t="n"/>
      <c r="K56" s="13" t="n"/>
      <c r="L56" s="13" t="inlineStr">
        <is>
          <t>Sec 8</t>
        </is>
      </c>
      <c r="M56" s="13" t="inlineStr">
        <is>
          <t>Uploads limited to PDF/PNG/JPEG, 5 MB, 5 per case; type taken from the file's magic bytes and must match declared type and extension; EICAR signature, executables/scripts and active PDF content rejected with 422 and audited; filenames sanitised; served as attachment + nosniff; optional ClamAV via CLAMD_HOST that fails closed. Tested incl. against the compiled production build. GAP: the built-in checks are NOT an antivirus engine, and the ClamAV path has never been run against a real clamd; files are stored in PostgreSQL until an object store is chosen; images are not re-encoded.</t>
        </is>
      </c>
      <c r="N56" s="15">
        <f>IF(AND(J56&lt;&gt;"",H56&lt;&gt;"Done",H56&lt;&gt;"Cancelled",J56&lt;TODAY()),"Yes","")</f>
        <v/>
      </c>
    </row>
    <row r="57">
      <c r="A57" s="13" t="inlineStr">
        <is>
          <t>T-056</t>
        </is>
      </c>
      <c r="B57" s="13" t="inlineStr">
        <is>
          <t>Phase 3 - Constituency Engagement</t>
        </is>
      </c>
      <c r="C57" s="13" t="inlineStr">
        <is>
          <t>Engagement Service</t>
        </is>
      </c>
      <c r="D57" s="13" t="inlineStr">
        <is>
          <t>Notification service (acknowledgement, status updates, delivery results)</t>
        </is>
      </c>
      <c r="E57" s="13" t="inlineStr">
        <is>
          <t>Delivery success/failure visible</t>
        </is>
      </c>
      <c r="F57" s="13" t="inlineStr">
        <is>
          <t>P0</t>
        </is>
      </c>
      <c r="G57" s="13" t="n"/>
      <c r="H57" s="13" t="inlineStr">
        <is>
          <t>In review</t>
        </is>
      </c>
      <c r="I57" s="19" t="n">
        <v>46307</v>
      </c>
      <c r="J57" s="19" t="n"/>
      <c r="K57" s="13" t="n"/>
      <c r="L57" s="13" t="inlineStr">
        <is>
          <t>Journey D</t>
        </is>
      </c>
      <c r="M57" s="13" t="inlineStr">
        <is>
          <t>Notification outbox + queue job with retries; acknowledgement, status update, response and follow-up request kinds; message text carries only the reference, status and a pointer to the tracking page (asserted); delivery state is stored per notification and per staff response and shown to staff, incl. FAILED with the reason; citizens who chose no channel get none. GAP: no real provider is bound (Decision 9): default fails visibly, NOTIFICATION_PROVIDER=log is dev only, tests use a fake sender; there are no delivery receipts so the best state is SENT, never DELIVERED; no WhatsApp/in-app channels.</t>
        </is>
      </c>
      <c r="N57" s="15">
        <f>IF(AND(J57&lt;&gt;"",H57&lt;&gt;"Done",H57&lt;&gt;"Cancelled",J57&lt;TODAY()),"Yes","")</f>
        <v/>
      </c>
    </row>
    <row r="58">
      <c r="A58" s="13" t="inlineStr">
        <is>
          <t>T-057</t>
        </is>
      </c>
      <c r="B58" s="13" t="inlineStr">
        <is>
          <t>Phase 3 - Constituency Engagement</t>
        </is>
      </c>
      <c r="C58" s="13" t="inlineStr">
        <is>
          <t>Engagement Service</t>
        </is>
      </c>
      <c r="D58" s="13" t="inlineStr">
        <is>
          <t>Human escalation for sensitive/high-risk categories</t>
        </is>
      </c>
      <c r="E58" s="13" t="inlineStr">
        <is>
          <t>Escalation rules configured and tested</t>
        </is>
      </c>
      <c r="F58" s="13" t="inlineStr">
        <is>
          <t>P1</t>
        </is>
      </c>
      <c r="G58" s="13" t="n"/>
      <c r="H58" s="13" t="inlineStr">
        <is>
          <t>In review</t>
        </is>
      </c>
      <c r="I58" s="19" t="n">
        <v>46307</v>
      </c>
      <c r="J58" s="19" t="n"/>
      <c r="K58" s="13" t="n"/>
      <c r="L58" s="13" t="inlineStr">
        <is>
          <t>Sec 8</t>
        </is>
      </c>
      <c r="M58" s="13" t="inlineStr">
        <is>
          <t>Typed escalation rules (personal-safety keywords, sensitive categories, allegations about named officials) set the escalated flag, raise priority/shorten the SLA, are audited, listed first in queues, and gate responses to the MP or an administrator; staff can escalate manually, only MP/admin can lift. Citizen sees an emergency notice (112) on safety matches. Unit + integration + UI tested. GAP: rules are provisional, English-only and deliberately broad (they over-escalate); edited in code, no admin UI; nobody is proactively notified of an escalation; emergency wording/numbers need Parliament confirmation.</t>
        </is>
      </c>
      <c r="N58" s="15">
        <f>IF(AND(J58&lt;&gt;"",H58&lt;&gt;"Done",H58&lt;&gt;"Cancelled",J58&lt;TODAY()),"Yes","")</f>
        <v/>
      </c>
    </row>
    <row r="59">
      <c r="A59" s="13" t="inlineStr">
        <is>
          <t>T-058</t>
        </is>
      </c>
      <c r="B59" s="13" t="inlineStr">
        <is>
          <t>Phase 3 - Constituency Engagement</t>
        </is>
      </c>
      <c r="C59" s="13" t="inlineStr">
        <is>
          <t>Engagement Service</t>
        </is>
      </c>
      <c r="D59" s="13" t="inlineStr">
        <is>
          <t>Retention, deletion and export of case data</t>
        </is>
      </c>
      <c r="E59" s="13" t="inlineStr">
        <is>
          <t>Process demonstrated end to end</t>
        </is>
      </c>
      <c r="F59" s="13" t="inlineStr">
        <is>
          <t>P1</t>
        </is>
      </c>
      <c r="G59" s="13" t="n"/>
      <c r="H59" s="13" t="inlineStr">
        <is>
          <t>In review</t>
        </is>
      </c>
      <c r="I59" s="19" t="n">
        <v>46307</v>
      </c>
      <c r="J59" s="19" t="n"/>
      <c r="K59" s="13" t="n"/>
      <c r="L59" s="13" t="inlineStr">
        <is>
          <t>Sec 8</t>
        </is>
      </c>
      <c r="M59" s="13" t="inlineStr">
        <is>
          <t>Retention date set when a case closes (CASE_RETENTION_DAYS, default 730); a sweep (every 6h and POST /internal/retention/sweep) anonymises closed cases past it; ADMIN can erase on request; citizens can download their data and request erasure from the tracking page. Anonymising deletes contact, attachments and all message/title text, keeps the non-identifying record, and is audited; audit events never contain the citizen's words (asserted). Demonstrated end to end in tests. GAP: retention period and erasure rules are provisional (Decision 10); audit events and database backups are not purged; erasure is a manual admin step; export is JSON only.</t>
        </is>
      </c>
      <c r="N59" s="15">
        <f>IF(AND(J59&lt;&gt;"",H59&lt;&gt;"Done",H59&lt;&gt;"Cancelled",J59&lt;TODAY()),"Yes","")</f>
        <v/>
      </c>
    </row>
    <row r="60">
      <c r="A60" s="13" t="inlineStr">
        <is>
          <t>T-059</t>
        </is>
      </c>
      <c r="B60" s="13" t="inlineStr">
        <is>
          <t>Phase 3 - Constituency Engagement</t>
        </is>
      </c>
      <c r="C60" s="13" t="inlineStr">
        <is>
          <t>Admin Console</t>
        </is>
      </c>
      <c r="D60" s="13" t="inlineStr">
        <is>
          <t>Cases workflow UI on real API (queue, SLA, templates, response, close)</t>
        </is>
      </c>
      <c r="E60" s="13" t="inlineStr">
        <is>
          <t>Role- and constituency-scoped access</t>
        </is>
      </c>
      <c r="F60" s="13" t="inlineStr">
        <is>
          <t>P0</t>
        </is>
      </c>
      <c r="G60" s="13" t="n"/>
      <c r="H60" s="13" t="inlineStr">
        <is>
          <t>In review</t>
        </is>
      </c>
      <c r="I60" s="19" t="n">
        <v>46307</v>
      </c>
      <c r="J60" s="19" t="n"/>
      <c r="K60" s="13" t="n"/>
      <c r="L60" s="13" t="inlineStr">
        <is>
          <t>Journey D</t>
        </is>
      </c>
      <c r="M60" s="13" t="inlineStr">
        <is>
          <t>Admin Cases screen replaced the static sample rows with the real API: queue with live counts, server-side filters (status, assignee, escalated, overdue, search) and cursor paging, SLA labels, case detail with the citizen's words as written, AI suggestion shown as a suggestion, triage (category/priority/assignee from the server's eligible list), status buttons exactly as the server allows, templated or custom response, internal notes (visibly separate), per-message and per-notification delivery results, attachments, history, escalation and (admin) erase. Scoping is enforced by the API. 35 admin UI tests. Also repaired the admin build (tsc -b failed before: empty tsconfig files list) so npm run build passes. GAP: no UI to manage templates, reroute cases or configure SLAs (API only); not tested with a real identity provider login; no automated accessibility check on admin screens; other admin screens (users, MPs, sittings, bills) are still static samples.</t>
        </is>
      </c>
      <c r="N60" s="15">
        <f>IF(AND(J60&lt;&gt;"",H60&lt;&gt;"Done",H60&lt;&gt;"Cancelled",J60&lt;TODAY()),"Yes","")</f>
        <v/>
      </c>
    </row>
    <row r="61">
      <c r="A61" s="13" t="inlineStr">
        <is>
          <t>T-060</t>
        </is>
      </c>
      <c r="B61" s="13" t="inlineStr">
        <is>
          <t>Phase 3 - Constituency Engagement</t>
        </is>
      </c>
      <c r="C61" s="13" t="inlineStr">
        <is>
          <t>Admin Console</t>
        </is>
      </c>
      <c r="D61" s="13" t="inlineStr">
        <is>
          <t>Exportable case history</t>
        </is>
      </c>
      <c r="E61" s="13" t="inlineStr">
        <is>
          <t>Export includes audit trail</t>
        </is>
      </c>
      <c r="F61" s="13" t="inlineStr">
        <is>
          <t>P1</t>
        </is>
      </c>
      <c r="G61" s="13" t="n"/>
      <c r="H61" s="13" t="inlineStr">
        <is>
          <t>In review</t>
        </is>
      </c>
      <c r="I61" s="19" t="n">
        <v>46307</v>
      </c>
      <c r="J61" s="19" t="n"/>
      <c r="K61" s="13" t="n"/>
      <c r="L61" s="13" t="inlineStr">
        <is>
          <t>Journey D</t>
        </is>
      </c>
      <c r="M61" s="13" t="inlineStr">
        <is>
          <t>GET /internal/cases/:id/export (and an 'Export case history' button) returns the case, contact, every message incl. internal notes, status history, attachments metadata, notifications and the case's audit trail; the export itself is audited. Scope-checked. GAP: JSON only (no CSV/PDF); not cryptographically signed; an export contains personal data and internal notes and relies on staff handling it as confidential.</t>
        </is>
      </c>
      <c r="N61" s="15">
        <f>IF(AND(J61&lt;&gt;"",H61&lt;&gt;"Done",H61&lt;&gt;"Cancelled",J61&lt;TODAY()),"Yes","")</f>
        <v/>
      </c>
    </row>
    <row r="62">
      <c r="A62" s="13" t="inlineStr">
        <is>
          <t>T-061</t>
        </is>
      </c>
      <c r="B62" s="13" t="inlineStr">
        <is>
          <t>Phase 3 - Constituency Engagement</t>
        </is>
      </c>
      <c r="C62" s="13" t="inlineStr">
        <is>
          <t>Quality</t>
        </is>
      </c>
      <c r="D62" s="13" t="inlineStr">
        <is>
          <t>Vertical slice 2 end-to-end test: issue to MP queue to response to citizen status</t>
        </is>
      </c>
      <c r="E62" s="13" t="inlineStr">
        <is>
          <t>Automated test passes in staging</t>
        </is>
      </c>
      <c r="F62" s="13" t="inlineStr">
        <is>
          <t>P0</t>
        </is>
      </c>
      <c r="G62" s="13" t="n"/>
      <c r="H62" s="13" t="inlineStr">
        <is>
          <t>In review</t>
        </is>
      </c>
      <c r="I62" s="19" t="n">
        <v>46307</v>
      </c>
      <c r="J62" s="19" t="n"/>
      <c r="K62" s="13" t="n"/>
      <c r="L62" s="13" t="inlineStr">
        <is>
          <t>Sec 7.0</t>
        </is>
      </c>
      <c r="M62" s="13" t="inlineStr">
        <is>
          <t>Automated end-to-end test of the whole slice over HTTP against real PostgreSQL (test/integration/slice2.int-spec.ts, 39 tests): directory lookup -&gt; submit (idempotent) -&gt; acknowledgement -&gt; MP/staff queue (scoped) -&gt; triage/assign/note -&gt; templated response with delivery result -&gt; citizen follow-up -&gt; attachments (incl. malicious) -&gt; close -&gt; export with audit trail -&gt; erasure/retention -&gt; boundary change. Plus 16 smoke checks against the compiled production build. GAP: acceptance says 'in staging' and no staging environment exists, so it has not been run there; the browser UIs are tested separately against mocked APIs (74 public + 35 admin tests), not driven end to end against a live backend.</t>
        </is>
      </c>
      <c r="N62" s="15">
        <f>IF(AND(J62&lt;&gt;"",H62&lt;&gt;"Done",H62&lt;&gt;"Cancelled",J62&lt;TODAY()),"Yes","")</f>
        <v/>
      </c>
    </row>
    <row r="63">
      <c r="A63" s="13" t="inlineStr">
        <is>
          <t>T-062</t>
        </is>
      </c>
      <c r="B63" s="13" t="inlineStr">
        <is>
          <t>Phase 4 - Parliamentary Operations</t>
        </is>
      </c>
      <c r="C63" s="13" t="inlineStr">
        <is>
          <t>Admin Console</t>
        </is>
      </c>
      <c r="D63" s="13" t="inlineStr">
        <is>
          <t>Sittings &amp; Order Paper on real API</t>
        </is>
      </c>
      <c r="E63" s="13" t="inlineStr">
        <is>
          <t>List/detail/edit persisted</t>
        </is>
      </c>
      <c r="F63" s="13" t="inlineStr">
        <is>
          <t>P1</t>
        </is>
      </c>
      <c r="G63" s="13" t="n"/>
      <c r="H63" s="13" t="inlineStr">
        <is>
          <t>In review</t>
        </is>
      </c>
      <c r="I63" s="19" t="n">
        <v>46307</v>
      </c>
      <c r="J63" s="19" t="n"/>
      <c r="K63" s="13" t="n"/>
      <c r="L63" s="13" t="inlineStr">
        <is>
          <t>Obj 5</t>
        </is>
      </c>
      <c r="M63" s="13" t="inlineStr">
        <is>
          <t>Sittings: list/create/edit persisted in PostgreSQL via /internal/sittings, with an order paper (agenda items optionally linked to bills, validated server-side) and status. Admin screen replaced the static rows. Publication is not a writable field: it only changes through an approval decided by a different REVIEWER/ADMIN. 115 backend integration + 69 admin UI tests. GAP: no attendance, speakers or minutes; order paper is a simple ordered list; no delete/cancel-with-reason workflow beyond status; list capped at 200 (no paging); not reviewed by Parliament staff.</t>
        </is>
      </c>
      <c r="N63" s="15">
        <f>IF(AND(J63&lt;&gt;"",H63&lt;&gt;"Done",H63&lt;&gt;"Cancelled",J63&lt;TODAY()),"Yes","")</f>
        <v/>
      </c>
    </row>
    <row r="64">
      <c r="A64" s="13" t="inlineStr">
        <is>
          <t>T-063</t>
        </is>
      </c>
      <c r="B64" s="13" t="inlineStr">
        <is>
          <t>Phase 4 - Parliamentary Operations</t>
        </is>
      </c>
      <c r="C64" s="13" t="inlineStr">
        <is>
          <t>Admin Console</t>
        </is>
      </c>
      <c r="D64" s="13" t="inlineStr">
        <is>
          <t>Bills Tracker on real API</t>
        </is>
      </c>
      <c r="E64" s="13" t="inlineStr">
        <is>
          <t>List/detail/edit persisted</t>
        </is>
      </c>
      <c r="F64" s="13" t="inlineStr">
        <is>
          <t>P1</t>
        </is>
      </c>
      <c r="G64" s="13" t="n"/>
      <c r="H64" s="13" t="inlineStr">
        <is>
          <t>In review</t>
        </is>
      </c>
      <c r="I64" s="19" t="n">
        <v>46307</v>
      </c>
      <c r="J64" s="19" t="n"/>
      <c r="K64" s="13" t="n"/>
      <c r="L64" s="13" t="inlineStr">
        <is>
          <t>Obj 5</t>
        </is>
      </c>
      <c r="M64" s="13" t="inlineStr">
        <is>
          <t>Bills: list/create/edit persisted (/internal/bills) with stage, sponsor, committee, plain-language summary and linked sittings; filter by stage. Admin screen on the real API. Publication is not a writable field: it only changes through an approval decided by a different REVIEWER/ADMIN. GAP: no stage-change history or votes recorded; sponsor is free text (not linked to an MP); no bill text upload here (documents are linked through the document metadata); list capped at 200.</t>
        </is>
      </c>
      <c r="N64" s="15">
        <f>IF(AND(J64&lt;&gt;"",H64&lt;&gt;"Done",H64&lt;&gt;"Cancelled",J64&lt;TODAY()),"Yes","")</f>
        <v/>
      </c>
    </row>
    <row r="65">
      <c r="A65" s="13" t="inlineStr">
        <is>
          <t>T-064</t>
        </is>
      </c>
      <c r="B65" s="13" t="inlineStr">
        <is>
          <t>Phase 4 - Parliamentary Operations</t>
        </is>
      </c>
      <c r="C65" s="13" t="inlineStr">
        <is>
          <t>Admin Console</t>
        </is>
      </c>
      <c r="D65" s="13" t="inlineStr">
        <is>
          <t>Committees on real API</t>
        </is>
      </c>
      <c r="E65" s="13" t="inlineStr">
        <is>
          <t>List/detail/edit persisted</t>
        </is>
      </c>
      <c r="F65" s="13" t="inlineStr">
        <is>
          <t>P1</t>
        </is>
      </c>
      <c r="G65" s="13" t="n"/>
      <c r="H65" s="13" t="inlineStr">
        <is>
          <t>In review</t>
        </is>
      </c>
      <c r="I65" s="19" t="n">
        <v>46307</v>
      </c>
      <c r="J65" s="19" t="n"/>
      <c r="K65" s="13" t="n"/>
      <c r="L65" s="13" t="inlineStr">
        <is>
          <t>Obj 5</t>
        </is>
      </c>
      <c r="M65" s="13" t="inlineStr">
        <is>
          <t>Committees: list/create/edit persisted with remit, chair and members (/internal/committees). Public pages only name published MPs. Publication is not a writable field: it only changes through an approval decided by a different REVIEWER/ADMIN. GAP: no meetings, terms or membership history; chair/member roles are simple labels; no delete.</t>
        </is>
      </c>
      <c r="N65" s="15">
        <f>IF(AND(J65&lt;&gt;"",H65&lt;&gt;"Done",H65&lt;&gt;"Cancelled",J65&lt;TODAY()),"Yes","")</f>
        <v/>
      </c>
    </row>
    <row r="66">
      <c r="A66" s="13" t="inlineStr">
        <is>
          <t>T-065</t>
        </is>
      </c>
      <c r="B66" s="13" t="inlineStr">
        <is>
          <t>Phase 4 - Parliamentary Operations</t>
        </is>
      </c>
      <c r="C66" s="13" t="inlineStr">
        <is>
          <t>Admin Console</t>
        </is>
      </c>
      <c r="D66" s="13" t="inlineStr">
        <is>
          <t>MP Directory on real API</t>
        </is>
      </c>
      <c r="E66" s="13" t="inlineStr">
        <is>
          <t>List/detail/edit persisted</t>
        </is>
      </c>
      <c r="F66" s="13" t="inlineStr">
        <is>
          <t>P1</t>
        </is>
      </c>
      <c r="G66" s="13" t="n"/>
      <c r="H66" s="13" t="inlineStr">
        <is>
          <t>In review</t>
        </is>
      </c>
      <c r="I66" s="19" t="n">
        <v>46307</v>
      </c>
      <c r="J66" s="19" t="n"/>
      <c r="K66" s="13" t="n"/>
      <c r="L66" s="13" t="inlineStr">
        <is>
          <t>Obj 5</t>
        </is>
      </c>
      <c r="M66" s="13" t="inlineStr">
        <is>
          <t>MP directory on /internal/mps: list/edit incl. constituency, party, dates and public contact details; only published MPs appear on Find my MP. Create/edit is ADMIN-only; STAFF/MP/REVIEWER can read; publishing goes through the approval gate (the old direct isPublished edit was removed). GAP: no photo, biography, attendance or party-change history; no bulk import from an official list; the approved source is still undecided (Decision 8).</t>
        </is>
      </c>
      <c r="N66" s="15">
        <f>IF(AND(J66&lt;&gt;"",H66&lt;&gt;"Done",H66&lt;&gt;"Cancelled",J66&lt;TODAY()),"Yes","")</f>
        <v/>
      </c>
    </row>
    <row r="67">
      <c r="A67" s="13" t="inlineStr">
        <is>
          <t>T-066</t>
        </is>
      </c>
      <c r="B67" s="13" t="inlineStr">
        <is>
          <t>Phase 4 - Parliamentary Operations</t>
        </is>
      </c>
      <c r="C67" s="13" t="inlineStr">
        <is>
          <t>Admin Console</t>
        </is>
      </c>
      <c r="D67" s="13" t="inlineStr">
        <is>
          <t>Users &amp; Roles on real API (invites, access review, deactivation)</t>
        </is>
      </c>
      <c r="E67" s="13" t="inlineStr">
        <is>
          <t>Backed by IdP</t>
        </is>
      </c>
      <c r="F67" s="13" t="inlineStr">
        <is>
          <t>P0</t>
        </is>
      </c>
      <c r="G67" s="13" t="n"/>
      <c r="H67" s="13" t="inlineStr">
        <is>
          <t>In review</t>
        </is>
      </c>
      <c r="I67" s="19" t="n">
        <v>46307</v>
      </c>
      <c r="J67" s="19" t="n"/>
      <c r="K67" s="13" t="n"/>
      <c r="L67" s="13" t="inlineStr">
        <is>
          <t>Obj 5</t>
        </is>
      </c>
      <c r="M67" s="13" t="inlineStr">
        <is>
          <t>Users &amp; roles on the real API (ADMIN only): list, invite (email, roles, constituency scope), edit access with before/after audit, deactivate/reactivate (immediate effect; open cases are released; cannot deactivate yourself or the last active admin), 90-day no-sign-in access-review filter, last sign-in time. An invited person is bound to their identity at first sign-in only when the token carries a verified email. GAP: 'Backed by IdP' is only partly met: there is no IdP provisioning (SCIM), no invitation email is sent (the admin must tell the person), and binding relies on the IdP issuing email + email_verified claims; never exercised against a real IdP. No periodic access-review workflow or sign-off record.</t>
        </is>
      </c>
      <c r="N67" s="15">
        <f>IF(AND(J67&lt;&gt;"",H67&lt;&gt;"Done",H67&lt;&gt;"Cancelled",J67&lt;TODAY()),"Yes","")</f>
        <v/>
      </c>
    </row>
    <row r="68">
      <c r="A68" s="13" t="inlineStr">
        <is>
          <t>T-067</t>
        </is>
      </c>
      <c r="B68" s="13" t="inlineStr">
        <is>
          <t>Phase 4 - Parliamentary Operations</t>
        </is>
      </c>
      <c r="C68" s="13" t="inlineStr">
        <is>
          <t>Admin Console</t>
        </is>
      </c>
      <c r="D68" s="13" t="inlineStr">
        <is>
          <t>Audit &amp; Approvals ledger with enforceable decision gates</t>
        </is>
      </c>
      <c r="E68" s="13" t="inlineStr">
        <is>
          <t>Immutable backend ledger</t>
        </is>
      </c>
      <c r="F68" s="13" t="inlineStr">
        <is>
          <t>P0</t>
        </is>
      </c>
      <c r="G68" s="13" t="n"/>
      <c r="H68" s="13" t="inlineStr">
        <is>
          <t>In review</t>
        </is>
      </c>
      <c r="I68" s="19" t="n">
        <v>46307</v>
      </c>
      <c r="J68" s="19" t="n"/>
      <c r="K68" s="13" t="n"/>
      <c r="L68" s="13" t="inlineStr">
        <is>
          <t>Obj 5</t>
        </is>
      </c>
      <c r="M68" s="13" t="inlineStr">
        <is>
          <t>Approvals ledger: staff request publish/withdraw for sittings, bills, committees and MPs; only REVIEWER/ADMIN may decide, never the requester (four-eyes); rejection/changes need a written reason; one pending request per record; a decision is void if the record was edited after the request; concurrent decisions resolve to one winner; every request and decision is in the append-only audit trail (a database trigger blocks UPDATE/DELETE). Admin Approvals and Audit screens read it. GAP: documents keep their own lifecycle gate (not routed through this ledger); a single approver suffices (no multi-approver or role-separation rules); editing a record that is ALREADY published takes effect immediately without re-approval (audited, but not gated); the audit screen is ADMIN-only and has no export.</t>
        </is>
      </c>
      <c r="N68" s="15">
        <f>IF(AND(J68&lt;&gt;"",H68&lt;&gt;"Done",H68&lt;&gt;"Cancelled",J68&lt;TODAY()),"Yes","")</f>
        <v/>
      </c>
    </row>
    <row r="69">
      <c r="A69" s="13" t="inlineStr">
        <is>
          <t>T-068</t>
        </is>
      </c>
      <c r="B69" s="13" t="inlineStr">
        <is>
          <t>Phase 4 - Parliamentary Operations</t>
        </is>
      </c>
      <c r="C69" s="13" t="inlineStr">
        <is>
          <t>Admin Console</t>
        </is>
      </c>
      <c r="D69" s="13" t="inlineStr">
        <is>
          <t>Overview dashboard with backend-derived metrics</t>
        </is>
      </c>
      <c r="E69" s="13" t="inlineStr">
        <is>
          <t>No hard-coded labels</t>
        </is>
      </c>
      <c r="F69" s="13" t="inlineStr">
        <is>
          <t>P1</t>
        </is>
      </c>
      <c r="G69" s="13" t="n"/>
      <c r="H69" s="13" t="inlineStr">
        <is>
          <t>In review</t>
        </is>
      </c>
      <c r="I69" s="19" t="n">
        <v>46307</v>
      </c>
      <c r="J69" s="19" t="n"/>
      <c r="K69" s="13" t="n"/>
      <c r="L69" s="13" t="inlineStr">
        <is>
          <t>Obj 5</t>
        </is>
      </c>
      <c r="M69" s="13" t="inlineStr">
        <is>
          <t>Overview computed from the database (documents by state, searchable passages, questions and share backed by sources in 7 days, approvals waiting, upcoming sittings, bills by stage, open/overdue/escalated cases and failed notifications scoped to the caller, dead jobs, active users). Header figures come from the same call; invented labels removed (e.g. 'Act 843 Compliant', fixed percentages). A test asserts none of the old hard-coded strings remain. GAP: point-in-time counts only (no trends/alerts); 'share backed by sources' is not an accuracy measure; no latency/error-rate panel (Phase 5 observability).</t>
        </is>
      </c>
      <c r="N69" s="15">
        <f>IF(AND(J69&lt;&gt;"",H69&lt;&gt;"Done",H69&lt;&gt;"Cancelled",J69&lt;TODAY()),"Yes","")</f>
        <v/>
      </c>
    </row>
    <row r="70">
      <c r="A70" s="13" t="inlineStr">
        <is>
          <t>T-069</t>
        </is>
      </c>
      <c r="B70" s="13" t="inlineStr">
        <is>
          <t>Phase 4 - Parliamentary Operations</t>
        </is>
      </c>
      <c r="C70" s="13" t="inlineStr">
        <is>
          <t>Admin Console</t>
        </is>
      </c>
      <c r="D70" s="13" t="inlineStr">
        <is>
          <t>Remove in-memory DataService</t>
        </is>
      </c>
      <c r="E70" s="13" t="inlineStr">
        <is>
          <t>Refresh no longer loses data</t>
        </is>
      </c>
      <c r="F70" s="13" t="inlineStr">
        <is>
          <t>P0</t>
        </is>
      </c>
      <c r="G70" s="13" t="n"/>
      <c r="H70" s="13" t="inlineStr">
        <is>
          <t>In review</t>
        </is>
      </c>
      <c r="I70" s="19" t="n">
        <v>46307</v>
      </c>
      <c r="J70" s="19" t="n"/>
      <c r="K70" s="13" t="n"/>
      <c r="L70" s="13" t="inlineStr">
        <is>
          <t>Sec 14.6</t>
        </is>
      </c>
      <c r="M70" s="13" t="inlineStr">
        <is>
          <t>The static sample rows (users, sittings, bills, cases, committees, MPs, audit, ML ops) are gone from the admin console; every Parliament/Workspace screen now loads from the API on each visit, so a refresh loses nothing (tested for sittings, bills, committees, MPs, approvals, users). The admin app is React and had no DataService, so the equivalent in-memory data was the hard-coded rows. ML operations and Settings now say 'Not available yet' instead of showing sample data. GAP: those two screens are still unbuilt (Phase 5).</t>
        </is>
      </c>
      <c r="N70" s="15">
        <f>IF(AND(J70&lt;&gt;"",H70&lt;&gt;"Done",H70&lt;&gt;"Cancelled",J70&lt;TODAY()),"Yes","")</f>
        <v/>
      </c>
    </row>
    <row r="71">
      <c r="A71" s="13" t="inlineStr">
        <is>
          <t>T-070</t>
        </is>
      </c>
      <c r="B71" s="13" t="inlineStr">
        <is>
          <t>Phase 4 - Parliamentary Operations</t>
        </is>
      </c>
      <c r="C71" s="13" t="inlineStr">
        <is>
          <t>Public App</t>
        </is>
      </c>
      <c r="D71" s="13" t="inlineStr">
        <is>
          <t>Bills and parliamentary business pages</t>
        </is>
      </c>
      <c r="E71" s="13" t="inlineStr">
        <is>
          <t>Approved records only</t>
        </is>
      </c>
      <c r="F71" s="13" t="inlineStr">
        <is>
          <t>P1</t>
        </is>
      </c>
      <c r="G71" s="13" t="n"/>
      <c r="H71" s="13" t="inlineStr">
        <is>
          <t>In review</t>
        </is>
      </c>
      <c r="I71" s="19" t="n">
        <v>46307</v>
      </c>
      <c r="J71" s="19" t="n"/>
      <c r="K71" s="13" t="n"/>
      <c r="L71" s="13" t="inlineStr">
        <is>
          <t>Sec 5.1</t>
        </is>
      </c>
      <c r="M71" s="13" t="inlineStr">
        <is>
          <t>Public Bills, Sittings and Committees pages (nav 'Bills'): searchable/filterable list, detail pages showing stage, sponsor, summary, committee, sittings and official records, honest empty/not-found/error states, order-paper links only for public bills. The backend returns published records only, and unpublished bills/MPs/committees never appear through relationships. 89 public-app tests incl. axe. GAP: no bill text/amendment history/votes; summaries are staff-written, not AI; no consultation feature; not tested on real devices or with assistive technology.</t>
        </is>
      </c>
      <c r="N71" s="15">
        <f>IF(AND(J71&lt;&gt;"",H71&lt;&gt;"Done",H71&lt;&gt;"Cancelled",J71&lt;TODAY()),"Yes","")</f>
        <v/>
      </c>
    </row>
    <row r="72">
      <c r="A72" s="13" t="inlineStr">
        <is>
          <t>T-071</t>
        </is>
      </c>
      <c r="B72" s="13" t="inlineStr">
        <is>
          <t>Phase 4 - Parliamentary Operations</t>
        </is>
      </c>
      <c r="C72" s="13" t="inlineStr">
        <is>
          <t>Records Service</t>
        </is>
      </c>
      <c r="D72" s="13" t="inlineStr">
        <is>
          <t>Relationships between sittings, bills, committees, documents, speakers</t>
        </is>
      </c>
      <c r="E72" s="13" t="inlineStr">
        <is>
          <t>Cross-links resolve in public app</t>
        </is>
      </c>
      <c r="F72" s="13" t="inlineStr">
        <is>
          <t>P1</t>
        </is>
      </c>
      <c r="G72" s="13" t="n"/>
      <c r="H72" s="13" t="inlineStr">
        <is>
          <t>In review</t>
        </is>
      </c>
      <c r="I72" s="19" t="n">
        <v>46307</v>
      </c>
      <c r="J72" s="19" t="n"/>
      <c r="K72" s="13" t="n"/>
      <c r="L72" s="13" t="inlineStr">
        <is>
          <t>Sec 11</t>
        </is>
      </c>
      <c r="M72" s="13" t="inlineStr">
        <is>
          <t>Relationships resolved in the API and the public app: bill &lt;-&gt; committee, bill &lt;-&gt; sittings, sitting order paper -&gt; bill, sitting/bill -&gt; published documents, committee -&gt; members/bills; withdrawing a record removes its cross-links immediately (tested). GAP: speakers are not modelled (documents are not linked to the MPs who spoke); document-to-sitting/bill links come from document metadata set at ingest and there is no admin UI to relink them; no related-bills or topic links.</t>
        </is>
      </c>
      <c r="N72" s="15">
        <f>IF(AND(J72&lt;&gt;"",H72&lt;&gt;"Done",H72&lt;&gt;"Cancelled",J72&lt;TODAY()),"Yes","")</f>
        <v/>
      </c>
    </row>
    <row r="73">
      <c r="A73" s="13" t="inlineStr">
        <is>
          <t>T-072</t>
        </is>
      </c>
      <c r="B73" s="13" t="inlineStr">
        <is>
          <t>Phase 5 - AI Governance &amp; Scale</t>
        </is>
      </c>
      <c r="C73" s="13" t="inlineStr">
        <is>
          <t>AI Governance</t>
        </is>
      </c>
      <c r="D73" s="13" t="inlineStr">
        <is>
          <t>Evaluation harness with language and constituency slices</t>
        </is>
      </c>
      <c r="E73" s="13" t="inlineStr">
        <is>
          <t>Reports per slice, not only aggregate</t>
        </is>
      </c>
      <c r="F73" s="13" t="inlineStr">
        <is>
          <t>P0</t>
        </is>
      </c>
      <c r="G73" s="13" t="n"/>
      <c r="H73" s="13" t="inlineStr">
        <is>
          <t>In review</t>
        </is>
      </c>
      <c r="I73" s="19" t="n">
        <v>46307</v>
      </c>
      <c r="J73" s="19" t="n"/>
      <c r="K73" s="13" t="n"/>
      <c r="L73" s="13" t="inlineStr">
        <is>
          <t>Journey F</t>
        </is>
      </c>
      <c r="M73" s="13" t="inlineStr">
        <is>
          <t>Evaluation harness: immutable registered datasets (up to 500 cases with language, constituency, tags, expected status and sources, required and forbidden text); a run pushes every case through the exact public answering pipeline (no citizen session or audit event is written), resumes after a crash and is frozen once finished. Reports answer quality, retrieval recall, citation completeness, refusal quality, harmful outputs, p50/p95 latency and token counts overall AND per language, constituency and tag, with small groups flagged rather than dropped. Release gate has a per-group floor and requires every supported language to have enough cases, so a strong aggregate cannot hide a weak group (unit-tested). Console report with failed cases. The harness found a real weakness in the baseline (quotes were cut from the start of each passage and could miss the answer); fixed. Tests: 27 unit (scoring, slices, gate, monitoring rules, validation) + 35 integration. GAP: no real evaluation dataset exists; the datasets in tests are synthetic. Quality is rule-based (expected status, required/forbidden text, citations): no model grader or human rating. Cost is token counts only (no price table). Release thresholds are provisional (Decision #12). Only English is 'supported', so Ghanaian languages are evaluated only for honest refusal. The safety reviewer's inspection of failure cases is a confirmation checkbox, not a recorded review of each case.</t>
        </is>
      </c>
      <c r="N73" s="15">
        <f>IF(AND(J73&lt;&gt;"",H73&lt;&gt;"Done",H73&lt;&gt;"Cancelled",J73&lt;TODAY()),"Yes","")</f>
        <v/>
      </c>
    </row>
    <row r="74">
      <c r="A74" s="13" t="inlineStr">
        <is>
          <t>T-073</t>
        </is>
      </c>
      <c r="B74" s="13" t="inlineStr">
        <is>
          <t>Phase 5 - AI Governance &amp; Scale</t>
        </is>
      </c>
      <c r="C74" s="13" t="inlineStr">
        <is>
          <t>AI Governance</t>
        </is>
      </c>
      <c r="D74" s="13" t="inlineStr">
        <is>
          <t>Model, prompt, retriever and dataset registry</t>
        </is>
      </c>
      <c r="E74" s="13" t="inlineStr">
        <is>
          <t>Versions registered with owners</t>
        </is>
      </c>
      <c r="F74" s="13" t="inlineStr">
        <is>
          <t>P0</t>
        </is>
      </c>
      <c r="G74" s="13" t="n"/>
      <c r="H74" s="13" t="inlineStr">
        <is>
          <t>In review</t>
        </is>
      </c>
      <c r="I74" s="19" t="n">
        <v>46307</v>
      </c>
      <c r="J74" s="19" t="n"/>
      <c r="K74" s="13" t="n"/>
      <c r="L74" s="13" t="inlineStr">
        <is>
          <t>Obj 6</t>
        </is>
      </c>
      <c r="M74" s="13" t="inlineStr">
        <is>
          <t>Registry for model, prompt, retriever and dataset versions: each has a name, version, owner (an active user), checksum and immutable setting; a database trigger rejects edits and deletes (only retirement is allowed); duplicates refused; prompts are checked for required safeguards (untrusted-data warning, [n] citations, JSON reply, language placeholder); a retired version cannot be evaluated or deployed, and a live or pending one cannot be retired. Baseline versions can be registered in one call. Console Registry tab. Every registration is audited. GAP: model data residency (Decision #11) is only a free-text note on the version; nothing in this repository trains or fine-tunes a model, so the registry is not connected to a training pipeline; the prompt check is a pattern check, not an understanding of the prompt; the retriever setting covers score cut-off and passage count, not the embedding model or index build.</t>
        </is>
      </c>
      <c r="N74" s="15">
        <f>IF(AND(J74&lt;&gt;"",H74&lt;&gt;"Done",H74&lt;&gt;"Cancelled",J74&lt;TODAY()),"Yes","")</f>
        <v/>
      </c>
    </row>
    <row r="75">
      <c r="A75" s="13" t="inlineStr">
        <is>
          <t>T-074</t>
        </is>
      </c>
      <c r="B75" s="13" t="inlineStr">
        <is>
          <t>Phase 5 - AI Governance &amp; Scale</t>
        </is>
      </c>
      <c r="C75" s="13" t="inlineStr">
        <is>
          <t>AI Governance</t>
        </is>
      </c>
      <c r="D75" s="13" t="inlineStr">
        <is>
          <t>Deployment approval workflow with rollback target</t>
        </is>
      </c>
      <c r="E75" s="13" t="inlineStr">
        <is>
          <t>No promotion without approval record</t>
        </is>
      </c>
      <c r="F75" s="13" t="inlineStr">
        <is>
          <t>P0</t>
        </is>
      </c>
      <c r="G75" s="13" t="n"/>
      <c r="H75" s="13" t="inlineStr">
        <is>
          <t>In review</t>
        </is>
      </c>
      <c r="I75" s="19" t="n">
        <v>46307</v>
      </c>
      <c r="J75" s="19" t="n"/>
      <c r="K75" s="13" t="n"/>
      <c r="L75" s="13" t="inlineStr">
        <is>
          <t>Obj 6</t>
        </is>
      </c>
      <c r="M75" s="13" t="inlineStr">
        <is>
          <t>Deployment workflow: a request needs a completed evaluation that passed the gate and matches the exact model+prompt+retriever; it creates an approval carrying the evidence. A different reviewer must decide it (not the requester, not the owner, not the person who ran the evaluation) and must confirm they reviewed the failure cases and group results. Approval alone makes it live; the database allows one live deployment; the previous one becomes the recorded rollback target. Rollback is immediate (live configuration is read per question, no cache) and restores the previous deployment or the built-in baseline. Models are used only through an approved deployment (the ANSWER_GENERATOR switch was removed). Every stored answer records its deployment. Console Deployments tab and an evidence dialog in Approvals. GAP: who may approve (Decisions #2, #13) is a provisional default; rollback needs no second approver by design, which Parliament should confirm; the model-backed path was only exercised against a stand-in provider, never a real one; nothing has run in staging.</t>
        </is>
      </c>
      <c r="N75" s="15">
        <f>IF(AND(J75&lt;&gt;"",H75&lt;&gt;"Done",H75&lt;&gt;"Cancelled",J75&lt;TODAY()),"Yes","")</f>
        <v/>
      </c>
    </row>
    <row r="76">
      <c r="A76" s="13" t="inlineStr">
        <is>
          <t>T-075</t>
        </is>
      </c>
      <c r="B76" s="13" t="inlineStr">
        <is>
          <t>Phase 5 - AI Governance &amp; Scale</t>
        </is>
      </c>
      <c r="C76" s="13" t="inlineStr">
        <is>
          <t>AI Governance</t>
        </is>
      </c>
      <c r="D76" s="13" t="inlineStr">
        <is>
          <t>Bias and quality monitoring (citation failure, empty retrieval, harmful output, drift)</t>
        </is>
      </c>
      <c r="E76" s="13" t="inlineStr">
        <is>
          <t>Alerts fire in staging</t>
        </is>
      </c>
      <c r="F76" s="13" t="inlineStr">
        <is>
          <t>P0</t>
        </is>
      </c>
      <c r="G76" s="13" t="n"/>
      <c r="H76" s="13" t="inlineStr">
        <is>
          <t>In review</t>
        </is>
      </c>
      <c r="I76" s="19" t="n">
        <v>46307</v>
      </c>
      <c r="J76" s="19" t="n"/>
      <c r="K76" s="13" t="n"/>
      <c r="L76" s="13" t="inlineStr">
        <is>
          <t>Obj 6</t>
        </is>
      </c>
      <c r="M76" s="13" t="inlineStr">
        <is>
          <t>Monitoring over real answers for the live deployment: citation failure rate (including model output that failed validation and fell back to quoting), empty-retrieval rate, failed-question rate, harmful/privacy reports, p95 latency, no-evidence drift and retrieval-score drop against the previous window, per-language failure gap, and demand for unsupported languages. A window with too few questions reports 'not enough data', never 'OK'. One alert per rule and scope, refreshed while it persists, resolved on recovery or when its deployment is no longer live; deduplicated by a database index. Runs every 5 minutes and on demand; gauges on /metrics; Prometheus rules drafted; console Monitoring tab. Tests: unit (every rule) + integration (alerts open, refresh, resolve, harmful report, language gap, deployment change). GAP: 'Alerts fire in staging' is NOT shown: tested locally with synthetic sessions only, and the Prometheus rules were never loaded or fired. Alerts do not page or notify anyone. Thresholds are provisional (Decision #12). The harmful-report rule can be triggered by anonymous reports, so it deliberately does not pause answering. The language-gap rule cannot detect bias between languages while only English is served. No monitoring of topic or content drift in the corpus.</t>
        </is>
      </c>
      <c r="N76" s="15">
        <f>IF(AND(J76&lt;&gt;"",H76&lt;&gt;"Done",H76&lt;&gt;"Cancelled",J76&lt;TODAY()),"Yes","")</f>
        <v/>
      </c>
    </row>
    <row r="77">
      <c r="A77" s="13" t="inlineStr">
        <is>
          <t>T-076</t>
        </is>
      </c>
      <c r="B77" s="13" t="inlineStr">
        <is>
          <t>Phase 5 - AI Governance &amp; Scale</t>
        </is>
      </c>
      <c r="C77" s="13" t="inlineStr">
        <is>
          <t>AI Governance</t>
        </is>
      </c>
      <c r="D77" s="13" t="inlineStr">
        <is>
          <t>AI incident workflow and kill switch</t>
        </is>
      </c>
      <c r="E77" s="13" t="inlineStr">
        <is>
          <t>Affected answer versions identifiable</t>
        </is>
      </c>
      <c r="F77" s="13" t="inlineStr">
        <is>
          <t>P0</t>
        </is>
      </c>
      <c r="G77" s="13" t="n"/>
      <c r="H77" s="13" t="inlineStr">
        <is>
          <t>In review</t>
        </is>
      </c>
      <c r="I77" s="19" t="n">
        <v>46307</v>
      </c>
      <c r="J77" s="19" t="n"/>
      <c r="K77" s="13" t="n"/>
      <c r="L77" s="13" t="inlineStr">
        <is>
          <t>Sec 8</t>
        </is>
      </c>
      <c r="M77" s="13" t="inlineStr">
        <is>
          <t>AI incident workflow: incident with severity, owner, scope (deployment, model/prompt/retriever label, cited document, answer IDs, time window; a bare date range is refused as too broad), live count of affected answers with a breakdown by version, mitigate/resolve with notes, timeline read from the audit ledger, and withdrawal of affected answers so shared links stop showing them while the record is kept. Kill switch: pause public answering at once (503 answering_paused, nothing generated or stored; search and browsing unaffected), public status endpoint and a notice in the public app; resume is refused while a critical incident is open. Console Incidents and Status tabs. GAP: owner of AI incidents and who may disable answering (Decision #13) is a provisional default (REVIEWER/ADMIN). Nobody is notified of an incident, an alert or a pause. Withdrawal hides answers at their links; it cannot recall what a citizen already saw. Affected-answer identification relies on versions recorded per answer from Phase 5 on; answers stored earlier carry no deployment id.</t>
        </is>
      </c>
      <c r="N77" s="15">
        <f>IF(AND(J77&lt;&gt;"",H77&lt;&gt;"Done",H77&lt;&gt;"Cancelled",J77&lt;TODAY()),"Yes","")</f>
        <v/>
      </c>
    </row>
    <row r="78">
      <c r="A78" s="13" t="inlineStr">
        <is>
          <t>T-077</t>
        </is>
      </c>
      <c r="B78" s="13" t="inlineStr">
        <is>
          <t>Phase 5 - AI Governance &amp; Scale</t>
        </is>
      </c>
      <c r="C78" s="13" t="inlineStr">
        <is>
          <t>AI Governance</t>
        </is>
      </c>
      <c r="D78" s="13" t="inlineStr">
        <is>
          <t>Rollback test in staging</t>
        </is>
      </c>
      <c r="E78" s="13" t="inlineStr">
        <is>
          <t>Rollback demonstrated</t>
        </is>
      </c>
      <c r="F78" s="13" t="inlineStr">
        <is>
          <t>P0</t>
        </is>
      </c>
      <c r="G78" s="13" t="n"/>
      <c r="H78" s="13" t="inlineStr">
        <is>
          <t>In review</t>
        </is>
      </c>
      <c r="I78" s="19" t="n">
        <v>46307</v>
      </c>
      <c r="J78" s="19" t="n"/>
      <c r="K78" s="13" t="n"/>
      <c r="L78" s="13" t="inlineStr">
        <is>
          <t>DoD 4</t>
        </is>
      </c>
      <c r="M78" s="13" t="inlineStr">
        <is>
          <t>Rollback mechanism and a rehearsal script: 'npm run drill:rollback' runs the full path against any live API (register candidate, evaluate, request, check the requester cannot approve, approve with a different reviewer, confirm citizens get the new configuration, roll back, confirm the previous configuration is served on the next question, check audit and that the rolled-back deployment cannot return without a new approval) and exits non-zero on any failure. The script is itself tested against a live local server, including a negative case where the approver is not independent; the integration suite also covers rollback to the previous deployment and to the baseline. GAP: NOT demonstrated in staging: no staging environment exists. Demonstrated locally only; measured time from rollback request to first answer under the restored configuration is under 5 s in the test. Needs three real people's tokens and a running background worker in staging.</t>
        </is>
      </c>
      <c r="N78" s="15">
        <f>IF(AND(J78&lt;&gt;"",H78&lt;&gt;"Done",H78&lt;&gt;"Cancelled",J78&lt;TODAY()),"Yes","")</f>
        <v/>
      </c>
    </row>
    <row r="79">
      <c r="A79" s="13" t="inlineStr">
        <is>
          <t>T-078</t>
        </is>
      </c>
      <c r="B79" s="13" t="inlineStr">
        <is>
          <t>Phase 5 - AI Governance &amp; Scale</t>
        </is>
      </c>
      <c r="C79" s="13" t="inlineStr">
        <is>
          <t>Release Readiness</t>
        </is>
      </c>
      <c r="D79" s="13" t="inlineStr">
        <is>
          <t>Load testing</t>
        </is>
      </c>
      <c r="E79" s="13" t="inlineStr">
        <is>
          <t>Targets met</t>
        </is>
      </c>
      <c r="F79" s="13" t="inlineStr">
        <is>
          <t>P1</t>
        </is>
      </c>
      <c r="G79" s="13" t="n"/>
      <c r="H79" s="13" t="inlineStr">
        <is>
          <t>In review</t>
        </is>
      </c>
      <c r="I79" s="19" t="n">
        <v>46307</v>
      </c>
      <c r="J79" s="19" t="n"/>
      <c r="K79" s="13" t="n"/>
      <c r="L79" s="13" t="inlineStr">
        <is>
          <t>Phase 5</t>
        </is>
      </c>
      <c r="M79" s="13" t="inlineStr">
        <is>
          <t>Load test harness (k6 plus a dependency-free Node driver) boots a throw-away UTF-8 database, seeds a synthetic corpus and drives ask, search and list against the compiled production build. Measured on a developer laptop, 200 documents / 1,200 chunks: one process saturates at about 50 asks/s; ask p95 258 ms at 20 clients, 1.1 s at 60, 2.2 s at 150; search and list p95 under 0.9 s at 150; zero errors; k6 (20 users) ask p95 830 ms. Retrieval is CPU-bound in the application, so scale-out is horizontal until pgvector or a search engine replaces it. Fixed the harness (it had stopped starting the server after Phase 3 required CASE_TOKEN_SECRET). See docs/LOAD_TESTING.md. GAP: 'Targets met' cannot be claimed: no release targets exist (Decision #12); the pass/fail numbers are developer placeholders. One laptop, one process, synthetic corpus, no network or TLS, no real model, no sustained or spike test, not in staging. k6 reported an implausibly low request rate on this machine, so only its latency figures are quoted.</t>
        </is>
      </c>
      <c r="N79" s="15">
        <f>IF(AND(J79&lt;&gt;"",H79&lt;&gt;"Done",H79&lt;&gt;"Cancelled",J79&lt;TODAY()),"Yes","")</f>
        <v/>
      </c>
    </row>
    <row r="80">
      <c r="A80" s="13" t="inlineStr">
        <is>
          <t>T-079</t>
        </is>
      </c>
      <c r="B80" s="13" t="inlineStr">
        <is>
          <t>Phase 5 - AI Governance &amp; Scale</t>
        </is>
      </c>
      <c r="C80" s="13" t="inlineStr">
        <is>
          <t>Release Readiness</t>
        </is>
      </c>
      <c r="D80" s="13" t="inlineStr">
        <is>
          <t>Security testing / penetration test</t>
        </is>
      </c>
      <c r="E80" s="13" t="inlineStr">
        <is>
          <t>No critical findings open</t>
        </is>
      </c>
      <c r="F80" s="13" t="inlineStr">
        <is>
          <t>P0</t>
        </is>
      </c>
      <c r="G80" s="13" t="n"/>
      <c r="H80" s="13" t="inlineStr">
        <is>
          <t>In review</t>
        </is>
      </c>
      <c r="I80" s="19" t="n">
        <v>46307</v>
      </c>
      <c r="J80" s="19" t="n"/>
      <c r="K80" s="13" t="n"/>
      <c r="L80" s="13" t="inlineStr">
        <is>
          <t>DoD 5</t>
        </is>
      </c>
      <c r="M80" s="13" t="inlineStr">
        <is>
          <t>Automated security testing, not a penetration test: an authorization matrix generated from the controllers covers every route (every internal route returns 401 without a token and 403 for an unprovisioned identity; for each of six roles, a role not listed gets 403 and a listed role never gets 401 or a crash; no internal route is public; every internal route declares roles; every public write is rate-limited), plus deactivated-user, error-leak, CORS, helmet, injection, attachment and tracking-code tests from earlier phases. The matrix found and fixed one real bug (unknown job retry returned 500). Dependency audit: admin and public apps clean; backend has 5 advisories through the Prisma CLI (build/migration time) and swagger (not mounted in production), recorded with an assessment in docs/SECURITY_TESTING.md. GAP: 'No critical findings open' CANNOT be asserted: there has been no independent penetration test, no testing against the real identity provider or infrastructure, and the ClamAV path has never run against a real daemon. The two advisory groups are open until upgraded. A scope for the independent test is drafted.</t>
        </is>
      </c>
      <c r="N80" s="15">
        <f>IF(AND(J80&lt;&gt;"",H80&lt;&gt;"Done",H80&lt;&gt;"Cancelled",J80&lt;TODAY()),"Yes","")</f>
        <v/>
      </c>
    </row>
    <row r="81">
      <c r="A81" s="13" t="inlineStr">
        <is>
          <t>T-080</t>
        </is>
      </c>
      <c r="B81" s="13" t="inlineStr">
        <is>
          <t>Phase 5 - AI Governance &amp; Scale</t>
        </is>
      </c>
      <c r="C81" s="13" t="inlineStr">
        <is>
          <t>Release Readiness</t>
        </is>
      </c>
      <c r="D81" s="13" t="inlineStr">
        <is>
          <t>Disaster recovery, backups, retention verification</t>
        </is>
      </c>
      <c r="E81" s="13" t="inlineStr">
        <is>
          <t>Restore tested</t>
        </is>
      </c>
      <c r="F81" s="13" t="inlineStr">
        <is>
          <t>P0</t>
        </is>
      </c>
      <c r="G81" s="13" t="n"/>
      <c r="H81" s="13" t="inlineStr">
        <is>
          <t>In review</t>
        </is>
      </c>
      <c r="I81" s="19" t="n">
        <v>46307</v>
      </c>
      <c r="J81" s="19" t="n"/>
      <c r="K81" s="13" t="n"/>
      <c r="L81" s="13" t="inlineStr">
        <is>
          <t>DoD 10</t>
        </is>
      </c>
      <c r="M81" s="13" t="inlineStr">
        <is>
          <t>Disaster-recovery drill ('npm run drill:dr'): populate a database (documents and chunks, cases, answers with source snapshots, audit events, AI registry, Twi text), take a cold physical backup, make later changes, destroy the primary, restore into a fresh cluster and verify counts, audit order, UTF-8 and Twi text, the audit append-only and AI immutability triggers and the one-live-deployment rule still enforced, snapshot hashes, then start the compiled API on the restored database and answer a public question. Measured recovery 20.6 s (25 documents, local). Readiness now fails if the database is not UTF-8 (a real test database was WIN1252 and could not store Twi). Retention sweep is covered by earlier tests; procedure and proposed RPO/RTO in docs/DISASTER_RECOVERY.md. GAP: 'Restore tested' only on a local throw-away database with a cold copy; not a real production backup, point-in-time recovery, managed-database restore or Alfresco restore. RPO 15 min / RTO 4 h are PROPOSALS, not agreed. A restore brings back personal data erased after the backup and the platform has no external erasure ledger to replay (demonstrated, not solved). Retention period (730 days) is provisional and audit-event retention is undecided (Decision #10). pg_dump/pg_basebackup are not available here.</t>
        </is>
      </c>
      <c r="N81" s="15">
        <f>IF(AND(J81&lt;&gt;"",H81&lt;&gt;"Done",H81&lt;&gt;"Cancelled",J81&lt;TODAY()),"Yes","")</f>
        <v/>
      </c>
    </row>
    <row r="82">
      <c r="A82" s="13" t="inlineStr">
        <is>
          <t>T-081</t>
        </is>
      </c>
      <c r="B82" s="13" t="inlineStr">
        <is>
          <t>Phase 5 - AI Governance &amp; Scale</t>
        </is>
      </c>
      <c r="C82" s="13" t="inlineStr">
        <is>
          <t>Release Readiness</t>
        </is>
      </c>
      <c r="D82" s="13" t="inlineStr">
        <is>
          <t>Runbooks, alerting, support ownership</t>
        </is>
      </c>
      <c r="E82" s="13" t="inlineStr">
        <is>
          <t>Signed off by operations</t>
        </is>
      </c>
      <c r="F82" s="13" t="inlineStr">
        <is>
          <t>P0</t>
        </is>
      </c>
      <c r="G82" s="13" t="n"/>
      <c r="H82" s="13" t="inlineStr">
        <is>
          <t>In review</t>
        </is>
      </c>
      <c r="I82" s="19" t="n">
        <v>46307</v>
      </c>
      <c r="J82" s="19" t="n"/>
      <c r="K82" s="13" t="n"/>
      <c r="L82" s="13" t="inlineStr">
        <is>
          <t>DoD 10</t>
        </is>
      </c>
      <c r="M82" s="13" t="inlineStr">
        <is>
          <t>Runbooks for the ten situations operations will face (AI incident, rollback, monitoring alerts, database restore, start-up failure, dead jobs, failed notifications, overdue cases, compromised account, secret rotation) in docs/RUNBOOKS.md; Prometheus alert rules over the real metrics in docs/alerting-rules.yml; an ownership table and an unsigned operations sign-off checklist in docs/OPERATIONS_SIGNOFF.md; in-console alerts and incident workflow are implemented and tested. GAP: 'Signed off by operations' is NOT met: nobody has been named as owner for anything, the runbooks have never been exercised by an operations team, the alert rules have never been loaded into a monitoring stack or fired (promtool not run), no on-call rota or paging route exists, and nothing notifies anyone of a new or escalated case or an alert. The sign-off lines are deliberately blank.</t>
        </is>
      </c>
      <c r="N82" s="15">
        <f>IF(AND(J82&lt;&gt;"",H82&lt;&gt;"Done",H82&lt;&gt;"Cancelled",J82&lt;TODAY()),"Yes","")</f>
        <v/>
      </c>
    </row>
    <row r="83">
      <c r="A83" s="13" t="inlineStr">
        <is>
          <t>T-082</t>
        </is>
      </c>
      <c r="B83" s="13" t="inlineStr">
        <is>
          <t>Phase 5 - AI Governance &amp; Scale</t>
        </is>
      </c>
      <c r="C83" s="13" t="inlineStr">
        <is>
          <t>Release Readiness</t>
        </is>
      </c>
      <c r="D83" s="13" t="inlineStr">
        <is>
          <t>Final audit reconstruction test (who, what source, which model, what user saw)</t>
        </is>
      </c>
      <c r="E83" s="13" t="inlineStr">
        <is>
          <t>Reconstruction succeeds for sample</t>
        </is>
      </c>
      <c r="F83" s="13" t="inlineStr">
        <is>
          <t>P0</t>
        </is>
      </c>
      <c r="G83" s="13" t="n"/>
      <c r="H83" s="13" t="inlineStr">
        <is>
          <t>In review</t>
        </is>
      </c>
      <c r="I83" s="19" t="n">
        <v>46307</v>
      </c>
      <c r="J83" s="19" t="n"/>
      <c r="K83" s="13" t="n"/>
      <c r="L83" s="13" t="inlineStr">
        <is>
          <t>DoD 7</t>
        </is>
      </c>
      <c r="M83" s="13" t="inlineStr">
        <is>
          <t>Audit reconstruction: every grounded answer now stores the exact passages it relied on (text, SHA-256, document id, version and checksum at the time). GET /internal/ai/answers/:id/reconstruction rebuilds who asked what, what they saw, the passages and whether the documents changed since, the model/prompt/retriever (with checksums), the deployment's approval and evaluation, the document publication trail, feedback and withdrawal, and lists anything that cannot be rebuilt; a tampered snapshot is detected. POST /internal/ai/reconstruction-test reconstructs a random sample and reports exactly which answers fail and why. Console panel. Tested end to end including source change, tampering and legacy answers. GAP: 'Reconstruction succeeds for sample' is shown only on synthetic local data; it must be run on real traffic in staging. Answers stored before Phase 5 have no snapshot and fail by design (none are in production). 'Which model' is the recorded label and checksum; the provider's own model identity cannot be verified. 'What the user saw' is the stored answer text and citations, not a capture of the rendered page. Who may read stored question text (RESEARCHER/REVIEWER/ADMIN) is a provisional access decision.</t>
        </is>
      </c>
      <c r="N83" s="15">
        <f>IF(AND(J83&lt;&gt;"",H83&lt;&gt;"Done",H83&lt;&gt;"Cancelled",J83&lt;TODAY()),"Yes","")</f>
        <v/>
      </c>
    </row>
  </sheetData>
  <autoFilter ref="A1:N83"/>
  <conditionalFormatting sqref="H2:H83">
    <cfRule type="cellIs" priority="1" operator="equal" dxfId="0">
      <formula>"Done"</formula>
    </cfRule>
    <cfRule type="cellIs" priority="2" operator="equal" dxfId="1">
      <formula>"In progress"</formula>
    </cfRule>
    <cfRule type="cellIs" priority="3" operator="equal" dxfId="2">
      <formula>"Blocked"</formula>
    </cfRule>
    <cfRule type="cellIs" priority="4" operator="equal" dxfId="3">
      <formula>"In review"</formula>
    </cfRule>
    <cfRule type="cellIs" priority="5" operator="equal" dxfId="4">
      <formula>"Cancelled"</formula>
    </cfRule>
  </conditionalFormatting>
  <conditionalFormatting sqref="N2:N83">
    <cfRule type="cellIs" priority="6" operator="equal" dxfId="5">
      <formula>"Yes"</formula>
    </cfRule>
  </conditionalFormatting>
  <conditionalFormatting sqref="F2:F83">
    <cfRule type="cellIs" priority="7" operator="equal" dxfId="5">
      <formula>"P0"</formula>
    </cfRule>
  </conditionalFormatting>
  <dataValidations count="3">
    <dataValidation sqref="H2:H83" showDropDown="0" showInputMessage="0" showErrorMessage="0" allowBlank="0" type="list">
      <formula1>"Not started,In progress,Blocked,In review,Done,Cancelled"</formula1>
    </dataValidation>
    <dataValidation sqref="F2:F83" showDropDown="0" showInputMessage="0" showErrorMessage="0" allowBlank="0" type="list">
      <formula1>"P0,P1,P2"</formula1>
    </dataValidation>
    <dataValidation sqref="I2:J83" showDropDown="0" showInputMessage="0" showErrorMessage="0" allowBlank="1"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80" customWidth="1" min="2" max="2"/>
    <col width="18" customWidth="1" min="3" max="3"/>
    <col width="12" customWidth="1" min="4" max="4"/>
    <col width="50" customWidth="1" min="5" max="5"/>
    <col width="12" customWidth="1" min="6" max="6"/>
  </cols>
  <sheetData>
    <row r="1">
      <c r="A1" s="16" t="inlineStr">
        <is>
          <t>#</t>
        </is>
      </c>
      <c r="B1" s="16" t="inlineStr">
        <is>
          <t>Decision needed from Parliament</t>
        </is>
      </c>
      <c r="C1" s="16" t="inlineStr">
        <is>
          <t>Decision owner</t>
        </is>
      </c>
      <c r="D1" s="16" t="inlineStr">
        <is>
          <t>Status</t>
        </is>
      </c>
      <c r="E1" s="16" t="inlineStr">
        <is>
          <t>Decision / outcome</t>
        </is>
      </c>
      <c r="F1" s="16" t="inlineStr">
        <is>
          <t>Date</t>
        </is>
      </c>
    </row>
    <row r="2">
      <c r="A2" s="13" t="n">
        <v>1</v>
      </c>
      <c r="B2" s="13" t="inlineStr">
        <is>
          <t>Which records are authoritative: website, Hansard repository, Alfresco, other ECM, or a combination?</t>
        </is>
      </c>
      <c r="C2" s="13" t="n"/>
      <c r="D2" s="13" t="inlineStr">
        <is>
          <t>Open</t>
        </is>
      </c>
      <c r="E2" s="13" t="n"/>
      <c r="F2" s="19" t="n"/>
    </row>
    <row r="3">
      <c r="A3" s="13" t="n">
        <v>2</v>
      </c>
      <c r="B3" s="13" t="inlineStr">
        <is>
          <t>Who may approve content for public AI retrieval?</t>
        </is>
      </c>
      <c r="C3" s="13" t="n"/>
      <c r="D3" s="13" t="inlineStr">
        <is>
          <t>Open</t>
        </is>
      </c>
      <c r="E3" s="13" t="n"/>
      <c r="F3" s="19" t="n"/>
    </row>
    <row r="4">
      <c r="A4" s="13" t="n">
        <v>3</v>
      </c>
      <c r="B4" s="13" t="inlineStr">
        <is>
          <t>Is the public service anonymous, account-based, or hybrid?</t>
        </is>
      </c>
      <c r="C4" s="13" t="n"/>
      <c r="D4" s="13" t="inlineStr">
        <is>
          <t>Open</t>
        </is>
      </c>
      <c r="E4" s="13" t="n"/>
      <c r="F4" s="19" t="n"/>
    </row>
    <row r="5">
      <c r="A5" s="13" t="n">
        <v>4</v>
      </c>
      <c r="B5" s="13" t="inlineStr">
        <is>
          <t>Which staff can see citizen identity and attachments?</t>
        </is>
      </c>
      <c r="C5" s="13" t="n"/>
      <c r="D5" s="13" t="inlineStr">
        <is>
          <t>Open</t>
        </is>
      </c>
      <c r="E5" s="13" t="n"/>
      <c r="F5" s="19" t="n"/>
    </row>
    <row r="6">
      <c r="A6" s="13" t="n">
        <v>5</v>
      </c>
      <c r="B6" s="13" t="inlineStr">
        <is>
          <t>What counts as a citizen case vs message, petition, complaint or service referral?</t>
        </is>
      </c>
      <c r="C6" s="13" t="n"/>
      <c r="D6" s="13" t="inlineStr">
        <is>
          <t>Open</t>
        </is>
      </c>
      <c r="E6" s="13" t="n"/>
      <c r="F6" s="19" t="n"/>
    </row>
    <row r="7">
      <c r="A7" s="13" t="n">
        <v>6</v>
      </c>
      <c r="B7" s="13" t="inlineStr">
        <is>
          <t>Which constituency lookup method is approved; how are boundary changes handled?</t>
        </is>
      </c>
      <c r="C7" s="13" t="n"/>
      <c r="D7" s="13" t="inlineStr">
        <is>
          <t>Open</t>
        </is>
      </c>
      <c r="E7" s="13" t="n"/>
      <c r="F7" s="19" t="n"/>
    </row>
    <row r="8">
      <c r="A8" s="13" t="n">
        <v>7</v>
      </c>
      <c r="B8" s="13" t="inlineStr">
        <is>
          <t>Which languages are production commitments in phase one?</t>
        </is>
      </c>
      <c r="C8" s="13" t="n"/>
      <c r="D8" s="13" t="inlineStr">
        <is>
          <t>Open</t>
        </is>
      </c>
      <c r="E8" s="13" t="n"/>
      <c r="F8" s="19" t="n"/>
    </row>
    <row r="9">
      <c r="A9" s="13" t="n">
        <v>8</v>
      </c>
      <c r="B9" s="13" t="inlineStr">
        <is>
          <t>Are MP attendance, party, contact and case data public, restricted or time-bound?</t>
        </is>
      </c>
      <c r="C9" s="13" t="n"/>
      <c r="D9" s="13" t="inlineStr">
        <is>
          <t>Open</t>
        </is>
      </c>
      <c r="E9" s="13" t="n"/>
      <c r="F9" s="19" t="n"/>
    </row>
    <row r="10">
      <c r="A10" s="13" t="n">
        <v>9</v>
      </c>
      <c r="B10" s="13" t="inlineStr">
        <is>
          <t>Which notification channels are required: email, SMS, WhatsApp, portal, internal task?</t>
        </is>
      </c>
      <c r="C10" s="13" t="n"/>
      <c r="D10" s="13" t="inlineStr">
        <is>
          <t>Open</t>
        </is>
      </c>
      <c r="E10" s="13" t="n"/>
      <c r="F10" s="19" t="n"/>
    </row>
    <row r="11">
      <c r="A11" s="13" t="n">
        <v>10</v>
      </c>
      <c r="B11" s="13" t="inlineStr">
        <is>
          <t>What retention, deletion, correction and export rules apply?</t>
        </is>
      </c>
      <c r="C11" s="13" t="n"/>
      <c r="D11" s="13" t="inlineStr">
        <is>
          <t>Open</t>
        </is>
      </c>
      <c r="E11" s="13" t="n"/>
      <c r="F11" s="19" t="n"/>
    </row>
    <row r="12">
      <c r="A12" s="13" t="n">
        <v>11</v>
      </c>
      <c r="B12" s="13" t="inlineStr">
        <is>
          <t>What model hosting and data-residency constraints apply?</t>
        </is>
      </c>
      <c r="C12" s="13" t="n"/>
      <c r="D12" s="13" t="inlineStr">
        <is>
          <t>Open</t>
        </is>
      </c>
      <c r="E12" s="13" t="n"/>
      <c r="F12" s="19" t="n"/>
    </row>
    <row r="13">
      <c r="A13" s="13" t="n">
        <v>12</v>
      </c>
      <c r="B13" s="13" t="inlineStr">
        <is>
          <t>What answer quality, citation completeness, latency and cost thresholds define release?</t>
        </is>
      </c>
      <c r="C13" s="13" t="n"/>
      <c r="D13" s="13" t="inlineStr">
        <is>
          <t>Open</t>
        </is>
      </c>
      <c r="E13" s="13" t="n"/>
      <c r="F13" s="19" t="n"/>
    </row>
    <row r="14">
      <c r="A14" s="13" t="n">
        <v>13</v>
      </c>
      <c r="B14" s="13" t="inlineStr">
        <is>
          <t>Who owns an AI incident and who can disable public answering?</t>
        </is>
      </c>
      <c r="C14" s="13" t="n"/>
      <c r="D14" s="13" t="inlineStr">
        <is>
          <t>Open</t>
        </is>
      </c>
      <c r="E14" s="13" t="n"/>
      <c r="F14" s="19" t="n"/>
    </row>
  </sheetData>
  <dataValidations count="1">
    <dataValidation sqref="D2:D14" showDropDown="0" showInputMessage="0" showErrorMessage="0" allowBlank="0" type="list">
      <formula1>"Open,Decided,Deferred"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5" customWidth="1" min="1" max="1"/>
    <col width="85" customWidth="1" min="2" max="2"/>
    <col width="14" customWidth="1" min="3" max="3"/>
    <col width="50" customWidth="1" min="4" max="4"/>
  </cols>
  <sheetData>
    <row r="1">
      <c r="A1" s="16" t="inlineStr">
        <is>
          <t>#</t>
        </is>
      </c>
      <c r="B1" s="16" t="inlineStr">
        <is>
          <t>Production-release criterion (Definition of Done)</t>
        </is>
      </c>
      <c r="C1" s="16" t="inlineStr">
        <is>
          <t>Status</t>
        </is>
      </c>
      <c r="D1" s="16" t="inlineStr">
        <is>
          <t>Evidence / link</t>
        </is>
      </c>
    </row>
    <row r="2">
      <c r="A2" s="13" t="n">
        <v>1</v>
      </c>
      <c r="B2" s="13" t="inlineStr">
        <is>
          <t>End-to-end value: cited answer from approved topic, source opened, feedback reported</t>
        </is>
      </c>
      <c r="C2" s="13" t="inlineStr">
        <is>
          <t>Not met</t>
        </is>
      </c>
      <c r="D2" s="13" t="n"/>
    </row>
    <row r="3">
      <c r="A3" s="13" t="n">
        <v>2</v>
      </c>
      <c r="B3" s="13" t="inlineStr">
        <is>
          <t>End-to-end engagement: case submitted, staff responds, citizen sees permitted status</t>
        </is>
      </c>
      <c r="C3" s="13" t="inlineStr">
        <is>
          <t>Not met</t>
        </is>
      </c>
      <c r="D3" s="13" t="n"/>
    </row>
    <row r="4">
      <c r="A4" s="13" t="n">
        <v>3</v>
      </c>
      <c r="B4" s="13" t="inlineStr">
        <is>
          <t>End-to-end content: document uploaded, approved, used by public search/answers</t>
        </is>
      </c>
      <c r="C4" s="13" t="inlineStr">
        <is>
          <t>Not met</t>
        </is>
      </c>
      <c r="D4" s="13" t="n"/>
    </row>
    <row r="5">
      <c r="A5" s="13" t="n">
        <v>4</v>
      </c>
      <c r="B5" s="13" t="inlineStr">
        <is>
          <t>End-to-end governance: AI version evaluated, approved, deployed, observed, rolled back in staging</t>
        </is>
      </c>
      <c r="C5" s="13" t="inlineStr">
        <is>
          <t>Partially met</t>
        </is>
      </c>
      <c r="D5" s="13" t="inlineStr">
        <is>
          <t>Evaluated, approved, deployed, rolled back and observed (monitoring, alerts, incidents) end to end in integration tests and the rollback drill against a local server, with a different reviewer approving. NOT in staging (none exists); real model never used; thresholds and incident owner are provisional (Decisions #11-13). See docs/AI_GOVERNANCE.md.</t>
        </is>
      </c>
    </row>
    <row r="6">
      <c r="A6" s="13" t="n">
        <v>5</v>
      </c>
      <c r="B6" s="13" t="inlineStr">
        <is>
          <t>Security: no privileged credentials in frontends; authorization tests cover sensitive operations</t>
        </is>
      </c>
      <c r="C6" s="13" t="inlineStr">
        <is>
          <t>Partially met</t>
        </is>
      </c>
      <c r="D6" s="13" t="inlineStr">
        <is>
          <t>Frontends hold no repository credentials (Phase 1). Authorization matrix over every route passes (docs/SECURITY_TESTING.md). Not independently penetration tested; real identity provider and infrastructure untested; 5 backend dependency advisories open (build-time / non-production).</t>
        </is>
      </c>
    </row>
    <row r="7">
      <c r="A7" s="13" t="n">
        <v>6</v>
      </c>
      <c r="B7" s="13" t="inlineStr">
        <is>
          <t>Data integrity: refresh, restart, retry, duplicate upload, failures do not lose/duplicate data</t>
        </is>
      </c>
      <c r="C7" s="13" t="inlineStr">
        <is>
          <t>Not met</t>
        </is>
      </c>
      <c r="D7" s="13" t="n"/>
    </row>
    <row r="8">
      <c r="A8" s="13" t="n">
        <v>7</v>
      </c>
      <c r="B8" s="13" t="inlineStr">
        <is>
          <t>Auditability: reconstruct who changed what, which source, which model, what user saw</t>
        </is>
      </c>
      <c r="C8" s="13" t="inlineStr">
        <is>
          <t>Partially met</t>
        </is>
      </c>
      <c r="D8" s="13" t="inlineStr">
        <is>
          <t>Reconstruction of who asked, what they saw, the exact passages and document versions, model/prompt/retriever and who approved the configuration works and is tested (docs/AI_GOVERNANCE.md). Run on synthetic local data only; answers before Phase 5 cannot be reconstructed; provider-side model identity and the rendered page are not captured.</t>
        </is>
      </c>
    </row>
    <row r="9">
      <c r="A9" s="13" t="n">
        <v>8</v>
      </c>
      <c r="B9" s="13" t="inlineStr">
        <is>
          <t>Accessibility: keyboard, screen reader, responsive, contrast, clear language</t>
        </is>
      </c>
      <c r="C9" s="13" t="inlineStr">
        <is>
          <t>Not met</t>
        </is>
      </c>
      <c r="D9" s="13" t="n"/>
    </row>
    <row r="10">
      <c r="A10" s="13" t="n">
        <v>9</v>
      </c>
      <c r="B10" s="13" t="inlineStr">
        <is>
          <t>Language honesty: explicit quality level and test evidence per language</t>
        </is>
      </c>
      <c r="C10" s="13" t="inlineStr">
        <is>
          <t>Not met</t>
        </is>
      </c>
      <c r="D10" s="13" t="inlineStr">
        <is>
          <t>Phase 5 adds per-language evaluation reporting and honest refusal for unsupported languages, but there is no real-corpus evaluation for English and none for any Ghanaian language, so this is not met.</t>
        </is>
      </c>
    </row>
    <row r="11">
      <c r="A11" s="13" t="n">
        <v>10</v>
      </c>
      <c r="B11" s="13" t="inlineStr">
        <is>
          <t>Operational readiness: monitoring, alerting, backups, retention, incident response, runbooks</t>
        </is>
      </c>
      <c r="C11" s="13" t="inlineStr">
        <is>
          <t>Partially met</t>
        </is>
      </c>
      <c r="D11" s="13" t="inlineStr">
        <is>
          <t>Runbooks, alert rules, a restore drill (20.6 s locally) and a sign-off checklist exist (docs/RUNBOOKS.md, DISASTER_RECOVERY.md, alerting-rules.yml, OPERATIONS_SIGNOFF.md). No named owners, no operations sign-off, alerts never fired in a real stack, no real backup restored, no external erasure ledger, nobody is paged.</t>
        </is>
      </c>
    </row>
  </sheetData>
  <dataValidations count="1">
    <dataValidation sqref="C2:C11" showDropDown="0" showInputMessage="0" showErrorMessage="0" allowBlank="0" type="list">
      <formula1>"Not met,Partially met,Met"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2026-10-08T16:17:13Z</dcterms:created>
  <dcterms:modified xsi:type="dcterms:W3CDTF">2026-10-12T09:13:39Z</dcterms:modified>
</cp:coreProperties>
</file>